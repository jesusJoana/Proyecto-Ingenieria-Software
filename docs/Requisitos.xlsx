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b6b7f1f7a448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quisitos" sheetId="1" r:id="R6a614b1ab3ee419a"/>
    <x:sheet xmlns:r="http://schemas.openxmlformats.org/officeDocument/2006/relationships" name="Planning" sheetId="2" r:id="R0fa1d1e2190742df"/>
    <x:sheet xmlns:r="http://schemas.openxmlformats.org/officeDocument/2006/relationships" name="Planning previo" sheetId="3" r:id="R9056b05d26af4215"/>
    <x:sheet xmlns:r="http://schemas.openxmlformats.org/officeDocument/2006/relationships" name="Seguimiento" sheetId="4" r:id="R87cca36708024166"/>
    <x:sheet xmlns:r="http://schemas.openxmlformats.org/officeDocument/2006/relationships" name="Cobertura" sheetId="5" r:id="R722e11e4758c47ff"/>
    <x:sheet xmlns:r="http://schemas.openxmlformats.org/officeDocument/2006/relationships" name="Evidencias Git" sheetId="6" r:id="Ree423ae77fff4549"/>
  </x:sheets>
</x:workbook>
</file>

<file path=xl/sharedStrings.xml><?xml version="1.0" encoding="utf-8"?>
<x:sst xmlns:x="http://schemas.openxmlformats.org/spreadsheetml/2006/main">
  <x:si>
    <x:t xml:space="preserve">User story</x:t>
  </x:si>
  <x:si>
    <x:t xml:space="preserve">Descripcion</x:t>
  </x:si>
  <x:si>
    <x:t xml:space="preserve">Criterio validación</x:t>
  </x:si>
  <x:si>
    <x:t xml:space="preserve">Estimación (h)</x:t>
  </x:si>
  <x:si>
    <x:t xml:space="preserve">Prioridad</x:t>
  </x:si>
  <x:si>
    <x:t xml:space="preserve">Riesgo equipo des</x:t>
  </x:si>
  <x:si>
    <x:t xml:space="preserve">Fecha compromiso</x:t>
  </x:si>
  <x:si>
    <x:t xml:space="preserve">OK</x:t>
  </x:si>
  <x:si>
    <x:t xml:space="preserve">Apartado actual del Word</x:t>
  </x:si>
  <x:si>
    <x:t xml:space="preserve">RF1</x:t>
  </x:si>
  <x:si>
    <x:t xml:space="preserve">Registro de Usuario</x:t>
  </x:si>
  <x:si>
    <x:t xml:space="preserve">Persistencia en la BBDD (verificación)</x:t>
  </x:si>
  <x:si>
    <x:t xml:space="preserve">ALTA</x:t>
  </x:si>
  <x:si>
    <x:t xml:space="preserve">BAJO</x:t>
  </x:si>
  <x:si>
    <x:t xml:space="preserve">2</x:t>
  </x:si>
  <x:si>
    <x:t xml:space="preserve">RF2</x:t>
  </x:si>
  <x:si>
    <x:t xml:space="preserve">Inicio y cierre de sesion</x:t>
  </x:si>
  <x:si>
    <x:t xml:space="preserve">Las credenciales válidas permiten acceder. </x:t>
  </x:si>
  <x:si>
    <x:t xml:space="preserve">3</x:t>
  </x:si>
  <x:si>
    <x:t xml:space="preserve">RF3</x:t>
  </x:si>
  <x:si>
    <x:t xml:space="preserve">Almacenamiento Persistente y serguridad basica</x:t>
  </x:si>
  <x:si>
    <x:t xml:space="preserve">Los datos permanecen almacenados después de reiniciar la aplicación.</x:t>
  </x:si>
  <x:si>
    <x:t xml:space="preserve">ALTO</x:t>
  </x:si>
  <x:si>
    <x:t xml:space="preserve">1; 17 y 20 (parcial)</x:t>
  </x:si>
  <x:si>
    <x:t xml:space="preserve">RF4</x:t>
  </x:si>
  <x:si>
    <x:t xml:space="preserve">Recuperación y cambio de contraseña</x:t>
  </x:si>
  <x:si>
    <x:t xml:space="preserve">Usuario puede inciar la rescuperación mediante su correo</x:t>
  </x:si>
  <x:si>
    <x:t xml:space="preserve">MEDIA</x:t>
  </x:si>
  <x:si>
    <x:t xml:space="preserve">4</x:t>
  </x:si>
  <x:si>
    <x:t xml:space="preserve">RF5</x:t>
  </x:si>
  <x:si>
    <x:t xml:space="preserve">Perfil del usuario</x:t>
  </x:si>
  <x:si>
    <x:t xml:space="preserve">El usuario autenticado puede acceder a su perfil</x:t>
  </x:si>
  <x:si>
    <x:t xml:space="preserve">MEDIO</x:t>
  </x:si>
  <x:si>
    <x:t xml:space="preserve">5</x:t>
  </x:si>
  <x:si>
    <x:t xml:space="preserve">RF6</x:t>
  </x:si>
  <x:si>
    <x:t xml:space="preserve">Edición de perfil</x:t>
  </x:si>
  <x:si>
    <x:t xml:space="preserve">Los campos del perfil puedan ser modificados y actualizados</x:t>
  </x:si>
  <x:si>
    <x:t xml:space="preserve">RF7</x:t>
  </x:si>
  <x:si>
    <x:t xml:space="preserve">Publicación de objeto perdido</x:t>
  </x:si>
  <x:si>
    <x:t xml:space="preserve">Rellenar campos obligatorios para crear publicación</x:t>
  </x:si>
  <x:si>
    <x:t xml:space="preserve">6</x:t>
  </x:si>
  <x:si>
    <x:t xml:space="preserve">RF8</x:t>
  </x:si>
  <x:si>
    <x:t xml:space="preserve">Publicación de objeto encontrado</x:t>
  </x:si>
  <x:si>
    <x:t xml:space="preserve">Una publicación valida queda registrada como objeto encontrado</x:t>
  </x:si>
  <x:si>
    <x:t xml:space="preserve">7</x:t>
  </x:si>
  <x:si>
    <x:t xml:space="preserve">RF9</x:t>
  </x:si>
  <x:si>
    <x:t xml:space="preserve">Visualización de publicación</x:t>
  </x:si>
  <x:si>
    <x:t xml:space="preserve">Se muestra el listado de objetos perdidos y encontrados</x:t>
  </x:si>
  <x:si>
    <x:t xml:space="preserve">8</x:t>
  </x:si>
  <x:si>
    <x:t xml:space="preserve">RF10</x:t>
  </x:si>
  <x:si>
    <x:t xml:space="preserve">Busqueda y filtro de objetos</x:t>
  </x:si>
  <x:si>
    <x:t xml:space="preserve">Los filtros por categoría, fecha, marca y tipo pueden aplicarse</x:t>
  </x:si>
  <x:si>
    <x:t xml:space="preserve">RF11</x:t>
  </x:si>
  <x:si>
    <x:t xml:space="preserve">Ssitema básico de coincidencias</x:t>
  </x:si>
  <x:si>
    <x:t xml:space="preserve">El sistema compara objetos perdidos con encontrados</x:t>
  </x:si>
  <x:si>
    <x:t xml:space="preserve">BAJA</x:t>
  </x:si>
  <x:si>
    <x:t xml:space="preserve">9</x:t>
  </x:si>
  <x:si>
    <x:t xml:space="preserve">RF12</x:t>
  </x:si>
  <x:si>
    <x:t xml:space="preserve">Visualización de posibles coincidencias</x:t>
  </x:si>
  <x:si>
    <x:t xml:space="preserve">El usuario puede consultar las coincidencias asociadas a publi</x:t>
  </x:si>
  <x:si>
    <x:t xml:space="preserve">RF13</x:t>
  </x:si>
  <x:si>
    <x:t xml:space="preserve">Reclamación de objetos</x:t>
  </x:si>
  <x:si>
    <x:t xml:space="preserve">El usuario puede iniciar reclamación de objeto encontrado</x:t>
  </x:si>
  <x:si>
    <x:t xml:space="preserve">10</x:t>
  </x:si>
  <x:si>
    <x:t xml:space="preserve">RF14</x:t>
  </x:si>
  <x:si>
    <x:t xml:space="preserve">Verificación del propietario</x:t>
  </x:si>
  <x:si>
    <x:t xml:space="preserve">Durante reclamación solitar daots no visibles publicamente</x:t>
  </x:si>
  <x:si>
    <x:t xml:space="preserve">7 y 10</x:t>
  </x:si>
  <x:si>
    <x:t xml:space="preserve">RF15</x:t>
  </x:si>
  <x:si>
    <x:t xml:space="preserve">Chat entre usuarios</x:t>
  </x:si>
  <x:si>
    <x:t xml:space="preserve">Los usuarios puede enviar y recibir mensajes</x:t>
  </x:si>
  <x:si>
    <x:t xml:space="preserve">11</x:t>
  </x:si>
  <x:si>
    <x:t xml:space="preserve">RF16</x:t>
  </x:si>
  <x:si>
    <x:t xml:space="preserve">Sistema de notificaciones</x:t>
  </x:si>
  <x:si>
    <x:t xml:space="preserve">Se genera una notificación antes coincidencias, reclamacion etc</x:t>
  </x:si>
  <x:si>
    <x:t xml:space="preserve">13</x:t>
  </x:si>
  <x:si>
    <x:t xml:space="preserve">RF17</x:t>
  </x:si>
  <x:si>
    <x:t xml:space="preserve">Gestión de estado del objeto</x:t>
  </x:si>
  <x:si>
    <x:t xml:space="preserve">Cada publicación muestra su estado actual</x:t>
  </x:si>
  <x:si>
    <x:t xml:space="preserve">12</x:t>
  </x:si>
  <x:si>
    <x:t xml:space="preserve">RF18</x:t>
  </x:si>
  <x:si>
    <x:t xml:space="preserve">Historial de publicaciones del registro</x:t>
  </x:si>
  <x:si>
    <x:t xml:space="preserve">El usuario puede acceder a sus publicaciones anteriores</x:t>
  </x:si>
  <x:si>
    <x:t xml:space="preserve">5 y 12 (parcial)</x:t>
  </x:si>
  <x:si>
    <x:t xml:space="preserve">RF19</x:t>
  </x:si>
  <x:si>
    <x:t xml:space="preserve">Menú y navegación</x:t>
  </x:si>
  <x:si>
    <x:t xml:space="preserve">Todas las opciones del menú digien a la sección correcta</x:t>
  </x:si>
  <x:si>
    <x:t xml:space="preserve">14</x:t>
  </x:si>
  <x:si>
    <x:t xml:space="preserve">RF20</x:t>
  </x:si>
  <x:si>
    <x:t xml:space="preserve">Diseño responsive</x:t>
  </x:si>
  <x:si>
    <x:t xml:space="preserve">Las pantallas principales funcionan en ordenador, movil. etc</x:t>
  </x:si>
  <x:si>
    <x:t xml:space="preserve">15</x:t>
  </x:si>
  <x:si>
    <x:t xml:space="preserve">RF21</x:t>
  </x:si>
  <x:si>
    <x:t xml:space="preserve">Detalle de una publicación</x:t>
  </x:si>
  <x:si>
    <x:t xml:space="preserve">Se muestra informacón publica, categoria, fecha etc</x:t>
  </x:si>
  <x:si>
    <x:t xml:space="preserve">RF22</x:t>
  </x:si>
  <x:si>
    <x:t xml:space="preserve">Edición de publicaciones</x:t>
  </x:si>
  <x:si>
    <x:t xml:space="preserve">El creador de una publicación puede modificar los campos editables</x:t>
  </x:si>
  <x:si>
    <x:t xml:space="preserve">20 (solo permisos)</x:t>
  </x:si>
  <x:si>
    <x:t xml:space="preserve">RF23</x:t>
  </x:si>
  <x:si>
    <x:t xml:space="preserve">Eliminación de publicaciones</x:t>
  </x:si>
  <x:si>
    <x:t xml:space="preserve">El creador puede solicitar la eliminación de una publicación</x:t>
  </x:si>
  <x:si>
    <x:t xml:space="preserve">RF24</x:t>
  </x:si>
  <x:si>
    <x:t xml:space="preserve">Confirmación de devolución</x:t>
  </x:si>
  <x:si>
    <x:t xml:space="preserve">Una devolución puede confirmarse cuando el objeto ha sido entregado</x:t>
  </x:si>
  <x:si>
    <x:t xml:space="preserve">Sin apartado propio; objetivo, 10, 12, 13 y 19</x:t>
  </x:si>
  <x:si>
    <x:t xml:space="preserve">RF25</x:t>
  </x:si>
  <x:si>
    <x:t xml:space="preserve">Gestión de estado de reclamación</x:t>
  </x:si>
  <x:si>
    <x:t xml:space="preserve">Una reclamación puede pasar por diferentes estados</x:t>
  </x:si>
  <x:si>
    <x:t xml:space="preserve">Sin apartado propio; relacionado con 10 y 12</x:t>
  </x:si>
  <x:si>
    <x:t xml:space="preserve">RF26</x:t>
  </x:si>
  <x:si>
    <x:t xml:space="preserve">Listado y gestión de conversaciones</x:t>
  </x:si>
  <x:si>
    <x:t xml:space="preserve">El usuario puede consultar un listado de las conversaciones que tiene</x:t>
  </x:si>
  <x:si>
    <x:t xml:space="preserve">11 (parcial)</x:t>
  </x:si>
  <x:si>
    <x:t xml:space="preserve">Organización documental acordada</x:t>
  </x:si>
  <x:si>
    <x:t xml:space="preserve">Requisitos_ReFind.docx: alcance y descripción de los requisitos.</x:t>
  </x:si>
  <x:si>
    <x:t xml:space="preserve">Tarjeta.docx: detalle y criterios de aceptación de cada requisito.</x:t>
  </x:si>
  <x:si>
    <x:t xml:space="preserve">Requisitos.xlsx: catálogo RF1-RF26, prioridades, riesgos, estimaciones y planificación.</x:t>
  </x:si>
  <x:si>
    <x:t xml:space="preserve">Los tres documentos utilizarán los identificadores RF del catálogo de referencia.</x:t>
  </x:si>
  <x:si>
    <x:t xml:space="preserve">Pendiente: acordar la correspondencia y actualizar los identificadores actuales.</x:t>
  </x:si>
  <x:si>
    <x:t xml:space="preserve">Estimación (h): horas de trabajo totales del requisito, incluidas pruebas, implementación y refactorización. En TDD las pruebas forman parte del desarrollo.</x:t>
  </x:si>
  <x:si>
    <x:t xml:space="preserve">ReFind · planificación y seguimiento</x:t>
  </x:si>
  <x:si>
    <x:t xml:space="preserve">Iteraciones cortas numeradas dentro de cada módulo. Cada entrega deja código probado disponible para el equipo.</x:t>
  </x:si>
  <x:si>
    <x:t xml:space="preserve">El número de iteración es local al módulo; las dependencias técnicas siguen en su columna. Fechas pendientes.</x:t>
  </x:si>
  <x:si>
    <x:t xml:space="preserve">Cierre: criterios cumplidos, pruebas y regresión en verde, horas/fechas reportadas, commit y push al repositorio compartido.</x:t>
  </x:si>
  <x:si>
    <x:t xml:space="preserve">ID</x:t>
  </x:si>
  <x:si>
    <x:t xml:space="preserve">Nivel</x:t>
  </x:si>
  <x:si>
    <x:t xml:space="preserve">Tarea / módulo</x:t>
  </x:si>
  <x:si>
    <x:t xml:space="preserve">Requisitos</x:t>
  </x:si>
  <x:si>
    <x:t xml:space="preserve">Dependencias técnicas</x:t>
  </x:si>
  <x:si>
    <x:t xml:space="preserve">Iteración</x:t>
  </x:si>
  <x:si>
    <x:t xml:space="preserve">Estado técnico</x:t>
  </x:si>
  <x:si>
    <x:t xml:space="preserve">Responsable</x:t>
  </x:si>
  <x:si>
    <x:t xml:space="preserve">Horas estimadas</x:t>
  </x:si>
  <x:si>
    <x:t xml:space="preserve">Horas pendientes</x:t>
  </x:si>
  <x:si>
    <x:t xml:space="preserve">Horas reales</x:t>
  </x:si>
  <x:si>
    <x:t xml:space="preserve">Inicio estimado</x:t>
  </x:si>
  <x:si>
    <x:t xml:space="preserve">Inicio real</x:t>
  </x:si>
  <x:si>
    <x:t xml:space="preserve">Fin estimado</x:t>
  </x:si>
  <x:si>
    <x:t xml:space="preserve">Fin real</x:t>
  </x:si>
  <x:si>
    <x:t xml:space="preserve">Desviación horas</x:t>
  </x:si>
  <x:si>
    <x:t xml:space="preserve">Desv. inicio (días)</x:t>
  </x:si>
  <x:si>
    <x:t xml:space="preserve">Desv. fin (días)</x:t>
  </x:si>
  <x:si>
    <x:t xml:space="preserve">Trabajo TDD incluido</x:t>
  </x:si>
  <x:si>
    <x:t xml:space="preserve">Criterio de cierre</x:t>
  </x:si>
  <x:si>
    <x:t xml:space="preserve">Evidencia / observaciones</x:t>
  </x:si>
  <x:si>
    <x:t xml:space="preserve">Control de reporte</x:t>
  </x:si>
  <x:si>
    <x:t xml:space="preserve">Entrega al cerrar la iteración</x:t>
  </x:si>
  <x:si>
    <x:t xml:space="preserve">Commits asociados al alcance</x:t>
  </x:si>
  <x:si>
    <x:t xml:space="preserve">Correspondencia con archivos</x:t>
  </x:si>
  <x:si>
    <x:t xml:space="preserve">Referencia de revisión</x:t>
  </x:si>
  <x:si>
    <x:t xml:space="preserve">HISTORIA DE USUARIO</x:t>
  </x:si>
  <x:si>
    <x:t xml:space="preserve">TAREA</x:t>
  </x:si>
  <x:si>
    <x:t xml:space="preserve">ENCARGADO</x:t>
  </x:si>
  <x:si>
    <x:t xml:space="preserve">ENCARGADO2(PP)</x:t>
  </x:si>
  <x:si>
    <x:t xml:space="preserve">ESTIMACIÓN (h)</x:t>
  </x:si>
  <x:si>
    <x:t xml:space="preserve">TIEMPO REAL (h)</x:t>
  </x:si>
  <x:si>
    <x:t xml:space="preserve">Requisitos iniciales de trabajo</x:t>
  </x:si>
  <x:si>
    <x:t xml:space="preserve">Desplegar y configurar entorno de trabajo</x:t>
  </x:si>
  <x:si>
    <x:t xml:space="preserve">Jesús</x:t>
  </x:si>
  <x:si>
    <x:t xml:space="preserve">Instalar NODE en el PC con el servidor</x:t>
  </x:si>
  <x:si>
    <x:t xml:space="preserve">Instalar git</x:t>
  </x:si>
  <x:si>
    <x:t xml:space="preserve">0.5</x:t>
  </x:si>
  <x:si>
    <x:t xml:space="preserve">Configurar IDE (preferiblemente VisualStudio Code)</x:t>
  </x:si>
  <x:si>
    <x:t xml:space="preserve">Interrelacionar Equipos con el servidor(que todos podamos acceder al servidor)</x:t>
  </x:si>
  <x:si>
    <x:t xml:space="preserve">x</x:t>
  </x:si>
  <x:si>
    <x:t xml:space="preserve">Investigar SGBD</x:t>
  </x:si>
  <x:si>
    <x:t xml:space="preserve">Instalar SGBD </x:t>
  </x:si>
  <x:si>
    <x:t xml:space="preserve">Configurar con campos SGBD</x:t>
  </x:si>
  <x:si>
    <x:t xml:space="preserve">Volcado de la bd para poder usarla en web</x:t>
  </x:si>
  <x:si>
    <x:t xml:space="preserve">TDD</x:t>
  </x:si>
  <x:si>
    <x:t xml:space="preserve">Pantalla de inicio html</x:t>
  </x:si>
  <x:si>
    <x:t xml:space="preserve">Pantalla de inicio css</x:t>
  </x:si>
  <x:si>
    <x:t xml:space="preserve">Pantalla de incio js</x:t>
  </x:si>
  <x:si>
    <x:t xml:space="preserve">Pantalla registro usuario html</x:t>
  </x:si>
  <x:si>
    <x:t xml:space="preserve">Pantalla registro usuario css</x:t>
  </x:si>
  <x:si>
    <x:t xml:space="preserve">Pantalla registro usuario js</x:t>
  </x:si>
  <x:si>
    <x:t xml:space="preserve">Pantalla inicio sesion usuario html</x:t>
  </x:si>
  <x:si>
    <x:t xml:space="preserve">Pantalla inicio sesion usuario css</x:t>
  </x:si>
  <x:si>
    <x:t xml:space="preserve">Pantalla inicio de sesion js</x:t>
  </x:si>
  <x:si>
    <x:t xml:space="preserve">ReFind · reparto y reglas de seguimiento</x:t>
  </x:si>
  <x:si>
    <x:t xml:space="preserve">Propuesta a 03/10/2026. El reparto equilibra trabajo pendiente; el histórico se conserva.</x:t>
  </x:si>
  <x:si>
    <x:t xml:space="preserve">Desarrollador</x:t>
  </x:si>
  <x:si>
    <x:t xml:space="preserve">Horas estimadas totales</x:t>
  </x:si>
  <x:si>
    <x:t xml:space="preserve">Horas reales reportadas</x:t>
  </x:si>
  <x:si>
    <x:t xml:space="preserve">Tareas pendientes</x:t>
  </x:si>
  <x:si>
    <x:t xml:space="preserve">Alvaro</x:t>
  </x:si>
  <x:si>
    <x:t xml:space="preserve">Jorge</x:t>
  </x:si>
  <x:si>
    <x:t xml:space="preserve">Iñigo</x:t>
  </x:si>
  <x:si>
    <x:t xml:space="preserve">Gonzalo</x:t>
  </x:si>
  <x:si>
    <x:t xml:space="preserve">Alejandro</x:t>
  </x:si>
  <x:si>
    <x:t xml:space="preserve">TOTAL</x:t>
  </x:si>
  <x:si>
    <x:t xml:space="preserve">Cómo usarlo</x:t>
  </x:si>
  <x:si>
    <x:t xml:space="preserve">Editar tareas de nivel 2, identificadas por concepto y acción. Las filas de módulo y el resumen calculan totales.</x:t>
  </x:si>
  <x:si>
    <x:t xml:space="preserve">Antes de cada push</x:t>
  </x:si>
  <x:si>
    <x:t xml:space="preserve">Responsable: anotar horas reales acumuladas (incluyen pruebas), inicio real y fin real cuando termine. Una tarea en curso conserva fin real vacío.</x:t>
  </x:si>
  <x:si>
    <x:t xml:space="preserve">La columna Control señala registros incompletos. Es un control documental: no bloquea Git automáticamente.</x:t>
  </x:si>
  <x:si>
    <x:t xml:space="preserve">Desviaciones</x:t>
  </x:si>
  <x:si>
    <x:t xml:space="preserve">Horas reales menos estimadas; fechas reales menos estimadas. Positivo significa exceso/retraso. Si la tarea sigue en curso, la desviación de horas es provisional.</x:t>
  </x:si>
  <x:si>
    <x:t xml:space="preserve">Estimación propuesta</x:t>
  </x:si>
  <x:si>
    <x:t xml:space="preserve">Histórico</x:t>
  </x:si>
  <x:si>
    <x:t xml:space="preserve">Solo constan 5 horas reales en Planning previo. Los ceros del resumen significan ausencia de horas reportadas, no trabajo gratuito. Completar el resto con el desarrollador.</x:t>
  </x:si>
  <x:si>
    <x:t xml:space="preserve">Fechas</x:t>
  </x:si>
  <x:si>
    <x:t xml:space="preserve">No se han indicado inicio, entrega ni disponibilidad diaria. Se dejan vacías; horas de esfuerzo no se convierten automáticamente en días.</x:t>
  </x:si>
  <x:si>
    <x:t xml:space="preserve">Iteraciones y dependencias</x:t>
  </x:si>
  <x:si>
    <x:t xml:space="preserve">Iteración numerada dentro de cada módulo. Una misma cifra en dos módulos no indica simultaneidad. Las dependencias técnicas determinan qué código se necesita; no esperar al módulo completo.</x:t>
  </x:si>
  <x:si>
    <x:t xml:space="preserve">Trabajo existente</x:t>
  </x:si>
  <x:si>
    <x:t xml:space="preserve">Implementada indica evidencia en el código; no certifica aceptación de todo el requisito. RF3 sigue parcial hasta persistir las entidades de negocio. No se ha ejecutado una nueva regresión para elaborar este plan.</x:t>
  </x:si>
  <x:si>
    <x:t xml:space="preserve">Estimaciones anteriores</x:t>
  </x:si>
  <x:si>
    <x:t xml:space="preserve">Requisitos conserva 274 h originales y compromisos del 02/10/2026. No son fechas reales. La propuesta detallada incorpora alcance transversal y no sustituye ese histórico.</x:t>
  </x:si>
  <x:si>
    <x:t xml:space="preserve">Trazabilidad</x:t>
  </x:si>
  <x:si>
    <x:t xml:space="preserve">RF1–RF26 provienen de Requisitos. DOC16–DOC21 identifican apartados del Word para planificación; no son nuevos números oficiales de requisito.</x:t>
  </x:si>
  <x:si>
    <x:t xml:space="preserve">Pendientes de definición</x:t>
  </x:si>
  <x:si>
    <x:t xml:space="preserve">Apartados 22–34 del Word quedan fuera del esfuerzo y reparto actuales. Ver Cobertura.</x:t>
  </x:si>
  <x:si>
    <x:t xml:space="preserve">Criterios por acordar</x:t>
  </x:si>
  <x:si>
    <x:t xml:space="preserve">P01.06 concreta rendimiento, permisos y reglas no medibles antes de sus implementaciones. Revisar las estimaciones cuando se acuerden.</x:t>
  </x:si>
  <x:si>
    <x:t xml:space="preserve">Responsables</x:t>
  </x:si>
  <x:si>
    <x:t xml:space="preserve">Asignación propuesta. Autores del trabajo existente según historial del repositorio; confirmar imputaciones históricas. Un responsable coordina cada tarea, no se presume trabajo exclusivo.</x:t>
  </x:si>
  <x:si>
    <x:t xml:space="preserve">Entregas pequeñas</x:t>
  </x:si>
  <x:si>
    <x:t xml:space="preserve">Objetivo orientativo: 2–6 horas de esfuerzo por entrega pendiente, no días de calendario. Priorizar migraciones y servicios que otros necesitan. Las tareas mayores requieren acordar cortes verificables antes de empezar.</x:t>
  </x:si>
  <x:si>
    <x:t xml:space="preserve">Ciclo TDD</x:t>
  </x:si>
  <x:si>
    <x:t xml:space="preserve">Cada entrega contiene ciclos cortos rojo–verde–refactorización. Sus pruebas se escriben durante el desarrollo; no se aplazan a la tarea de integración ni al final del módulo.</x:t>
  </x:si>
  <x:si>
    <x:t xml:space="preserve">Cierre de iteración</x:t>
  </x:si>
  <x:si>
    <x:t xml:space="preserve">Cumplir los criterios de todas sus tareas; ejecutar pruebas propias y regresión pertinente. Actualizar horas e inicio/fin reales. Hacer commit y push con referencia módulo/iteración y avisar de la entrega al equipo.</x:t>
  </x:si>
  <x:si>
    <x:t xml:space="preserve">Disponibilidad del código</x:t>
  </x:si>
  <x:si>
    <x:t xml:space="preserve">Se puede compartir un componente interno probado antes de su pantalla. Mantener compatible el código existente y no activar rutas o acciones incompletas ni sin controles de seguridad. Publicar el commit en la rama de trabajo compartida acordada.</x:t>
  </x:si>
  <x:si>
    <x:t xml:space="preserve">Integración frecuente</x:t>
  </x:si>
  <x:si>
    <x:t xml:space="preserve">Commit y push también pueden hacerse antes del cierre de iteración si el incremento queda probado y coherente. Un fallo de pruebas impide declarar cerrada la entrega. Integrar pronto los cambios compartidos para reducir conflictos.</x:t>
  </x:si>
  <x:si>
    <x:t xml:space="preserve">Trabajo ya existente</x:t>
  </x:si>
  <x:si>
    <x:t xml:space="preserve">La numeración del trabajo implementado organiza el plan de forma retrospectiva; no demuestra que aquellos commits siguieran estas iteraciones. Se conservan horas y responsables existentes.</x:t>
  </x:si>
  <x:si>
    <x:t xml:space="preserve">Referencia a Git</x:t>
  </x:si>
  <x:si>
    <x:t xml:space="preserve">Planning enlaza a Evidencias Git. Cada iteración relaciona tareas, commits, archivos de código, pruebas y documentación. Se revisó el historial local hasta 7a6b88f.</x:t>
  </x:si>
  <x:si>
    <x:t xml:space="preserve">Cierre histórico</x:t>
  </x:si>
  <x:si>
    <x:t xml:space="preserve">Los commits acreditan contenido disponible, no ejecución de pruebas ni fecha del push. Las fechas reales y horas siguen siendo las reportadas por el desarrollador, no las del commit.</x:t>
  </x:si>
  <x:si>
    <x:t xml:space="preserve">Iteraciones retrospectivas</x:t>
  </x:si>
  <x:si>
    <x:t xml:space="preserve">P04, iteraciones 1–4: registro y acceso se incorporaron juntos en 7a6b88f. Se conserva el desglose lógico, sin presentarlo como cuatro entregas históricas distintas.</x:t>
  </x:si>
  <x:si>
    <x:t xml:space="preserve">Pruebas posteriores</x:t>
  </x:si>
  <x:si>
    <x:t xml:space="preserve">Configuración nació en ac48a95; sesiones en 68960da. Sus unitarias llegaron en c3c9b39. tests/README distingue cobertura posterior de correcciones realizadas mediante TDD.</x:t>
  </x:si>
  <x:si>
    <x:t xml:space="preserve">Alcance pendiente</x:t>
  </x:si>
  <x:si>
    <x:t xml:space="preserve">Las bases locales no están en Git. Solo hay migraciones users/session; portada con ejemplos; menú de módulos futuro pendiente. No se atribuyen publicaciones, reclamaciones, chat o notificaciones a esos commits.</x:t>
  </x:si>
  <x:si>
    <x:t xml:space="preserve">ReFind · trazabilidad de requisitos y alcance</x:t>
  </x:si>
  <x:si>
    <x:t xml:space="preserve">Todas las obligaciones activas se vinculan a tareas; ampliaciones identificadas sin estimarlas.</x:t>
  </x:si>
  <x:si>
    <x:t xml:space="preserve">Referencia</x:t>
  </x:si>
  <x:si>
    <x:t xml:space="preserve">Requisito / apartado</x:t>
  </x:si>
  <x:si>
    <x:t xml:space="preserve">Origen</x:t>
  </x:si>
  <x:si>
    <x:t xml:space="preserve">Tareas de nivel 2</x:t>
  </x:si>
  <x:si>
    <x:t xml:space="preserve">Tratamiento</x:t>
  </x:si>
  <x:si>
    <x:t xml:space="preserve">Requisitos, fila 2; Word 2</x:t>
  </x:si>
  <x:si>
    <x:t xml:space="preserve">P04.01, P04.02, P04.03, P04.04</x:t>
  </x:si>
  <x:si>
    <x:t xml:space="preserve">Incluido. Ver criterio de cierre de cada tarea.</x:t>
  </x:si>
  <x:si>
    <x:t xml:space="preserve">Requisitos, fila 3; Word 3</x:t>
  </x:si>
  <x:si>
    <x:t xml:space="preserve">P04.05, P04.06, P04.07, P04.08</x:t>
  </x:si>
  <x:si>
    <x:t xml:space="preserve">Requisitos, fila 4; Word 1; 17 y 20 (parcial)</x:t>
  </x:si>
  <x:si>
    <x:t xml:space="preserve">Requisitos, fila 5; Word 4</x:t>
  </x:si>
  <x:si>
    <x:t xml:space="preserve">P04.09, P04.10, P04.11, P04.12, P04.13, P04.14, P04.15, P04.16, P04.17, P04.18</x:t>
  </x:si>
  <x:si>
    <x:t xml:space="preserve">Requisitos, fila 6; Word 5</x:t>
  </x:si>
  <x:si>
    <x:t xml:space="preserve">P05.01, P05.02, P05.03, P13.01, P13.02, P13.03, P13.04, P13.05</x:t>
  </x:si>
  <x:si>
    <x:t xml:space="preserve">Requisitos, fila 7; Word 5</x:t>
  </x:si>
  <x:si>
    <x:t xml:space="preserve">P05.04, P05.05, P05.06, P05.07</x:t>
  </x:si>
  <x:si>
    <x:t xml:space="preserve">Requisitos, fila 8; Word 6</x:t>
  </x:si>
  <x:si>
    <x:t xml:space="preserve">P06.03, P06.04, P06.05, P06.06, P06.10, P06.11, P06.12</x:t>
  </x:si>
  <x:si>
    <x:t xml:space="preserve">Requisitos, fila 9; Word 7</x:t>
  </x:si>
  <x:si>
    <x:t xml:space="preserve">P06.07, P06.08, P06.09, P06.10, P06.11, P06.12</x:t>
  </x:si>
  <x:si>
    <x:t xml:space="preserve">Requisitos, fila 10; Word 8</x:t>
  </x:si>
  <x:si>
    <x:t xml:space="preserve">P07.01, P07.02, P07.03</x:t>
  </x:si>
  <x:si>
    <x:t xml:space="preserve">Requisitos, fila 11; Word 8</x:t>
  </x:si>
  <x:si>
    <x:t xml:space="preserve">P07.07, P07.08, P07.09, P07.10</x:t>
  </x:si>
  <x:si>
    <x:t xml:space="preserve">Requisitos, fila 12; Word 9</x:t>
  </x:si>
  <x:si>
    <x:t xml:space="preserve">P08.01, P08.02, P08.03, P08.04, P08.05</x:t>
  </x:si>
  <x:si>
    <x:t xml:space="preserve">Requisitos, fila 13; Word 9</x:t>
  </x:si>
  <x:si>
    <x:t xml:space="preserve">P08.06, P08.07, P08.08, P08.09, P12.05, P12.06</x:t>
  </x:si>
  <x:si>
    <x:t xml:space="preserve">Requisitos, fila 14; Word 10</x:t>
  </x:si>
  <x:si>
    <x:t xml:space="preserve">P09.01, P09.02, P09.03, P09.04</x:t>
  </x:si>
  <x:si>
    <x:t xml:space="preserve">Requisitos, fila 15; Word 7 y 10</x:t>
  </x:si>
  <x:si>
    <x:t xml:space="preserve">P06.13, P06.14, P06.15, P09.05, P09.06, P09.07</x:t>
  </x:si>
  <x:si>
    <x:t xml:space="preserve">Requisitos, fila 16; Word 11</x:t>
  </x:si>
  <x:si>
    <x:t xml:space="preserve">P10.01, P10.02, P10.03, P10.04, P10.05, P10.06, P10.07</x:t>
  </x:si>
  <x:si>
    <x:t xml:space="preserve">Requisitos, fila 17; Word 13</x:t>
  </x:si>
  <x:si>
    <x:t xml:space="preserve">P12.01, P12.02, P12.03, P12.04, P12.05, P12.06</x:t>
  </x:si>
  <x:si>
    <x:t xml:space="preserve">Requisitos, fila 18; Word 12</x:t>
  </x:si>
  <x:si>
    <x:t xml:space="preserve">P06.01, P06.02, P09.08, P09.09, P09.10, P11.05, P11.06</x:t>
  </x:si>
  <x:si>
    <x:t xml:space="preserve">Requisitos, fila 19; Word 5 y 12 (parcial)</x:t>
  </x:si>
  <x:si>
    <x:t xml:space="preserve">P13.01, P13.02, P13.03, P13.04, P13.05</x:t>
  </x:si>
  <x:si>
    <x:t xml:space="preserve">Requisitos, fila 20; Word 14</x:t>
  </x:si>
  <x:si>
    <x:t xml:space="preserve">P03.01, P03.02, P03.03, P14.01</x:t>
  </x:si>
  <x:si>
    <x:t xml:space="preserve">Requisitos, fila 21; Word 15</x:t>
  </x:si>
  <x:si>
    <x:t xml:space="preserve">P03.01, P14.05</x:t>
  </x:si>
  <x:si>
    <x:t xml:space="preserve">Requisitos, fila 22; Word 8</x:t>
  </x:si>
  <x:si>
    <x:t xml:space="preserve">P07.04, P07.05, P07.06</x:t>
  </x:si>
  <x:si>
    <x:t xml:space="preserve">Requisitos, fila 23; Word 20 (solo permisos)</x:t>
  </x:si>
  <x:si>
    <x:t xml:space="preserve">P07.11, P07.12, P07.13, P07.14</x:t>
  </x:si>
  <x:si>
    <x:t xml:space="preserve">Requisitos, fila 24; Word 20 (solo permisos)</x:t>
  </x:si>
  <x:si>
    <x:t xml:space="preserve">P07.15, P07.16, P07.17, P07.18</x:t>
  </x:si>
  <x:si>
    <x:t xml:space="preserve">Requisitos, fila 25; Word Sin apartado propio; objetivo, 10, 12, 13 y 19</x:t>
  </x:si>
  <x:si>
    <x:t xml:space="preserve">P11.01, P11.02, P11.03, P11.04, P12.05, P12.06</x:t>
  </x:si>
  <x:si>
    <x:t xml:space="preserve">Requisitos, fila 26; Word Sin apartado propio; relacionado con 10 y 12</x:t>
  </x:si>
  <x:si>
    <x:t xml:space="preserve">P09.08, P09.09, P09.10, P11.05, P11.06</x:t>
  </x:si>
  <x:si>
    <x:t xml:space="preserve">Requisitos, fila 27; Word 11 (parcial)</x:t>
  </x:si>
  <x:si>
    <x:t xml:space="preserve">P10.01, P10.02, P10.03, P10.08, P10.09, P10.10</x:t>
  </x:si>
  <x:si>
    <x:t xml:space="preserve">DOC16</x:t>
  </x:si>
  <x:si>
    <x:t xml:space="preserve">Errores y validación</x:t>
  </x:si>
  <x:si>
    <x:t xml:space="preserve">Requisitos_ReFind.docx, apartado 16</x:t>
  </x:si>
  <x:si>
    <x:t xml:space="preserve">P01.06, P02.04, P02.05, P04.01, P04.02, P04.03, P04.04, P05.04, P05.05, P05.06, P05.07, P06.03, P06.04, P06.05, P06.06, P06.07, P06.08, P06.09, P14.02</x:t>
  </x:si>
  <x:si>
    <x:t xml:space="preserve">Incluido; concretar criterios en P01.06.</x:t>
  </x:si>
  <x:si>
    <x:t xml:space="preserve">DOC17</x:t>
  </x:si>
  <x:si>
    <x:t xml:space="preserve">Seguridad y privacidad</x:t>
  </x:si>
  <x:si>
    <x:t xml:space="preserve">Requisitos_ReFind.docx, apartado 17</x:t>
  </x:si>
  <x:si>
    <x:t xml:space="preserve">P01.06, P02.04, P02.05, P04.01, P04.02, P04.03, P04.04, P04.05, P04.06, P04.07, P04.08, P04.09, P04.10, P04.11, P04.12, P04.13, P04.14, P04.15, P06.10, P06.11, P06.12, P06.13, P06.14, P06.15, P07.04, P07.05, P07.06, P09.05, P09.06, P09.07, P10.04, P10.05, P10.06, P10.07, P14.03</x:t>
  </x:si>
  <x:si>
    <x:t xml:space="preserve">DOC18</x:t>
  </x:si>
  <x:si>
    <x:t xml:space="preserve">Rendimiento</x:t>
  </x:si>
  <x:si>
    <x:t xml:space="preserve">Requisitos_ReFind.docx, apartado 18</x:t>
  </x:si>
  <x:si>
    <x:t xml:space="preserve">P01.06, P07.01, P07.02, P07.03, P07.07, P07.08, P07.09, P07.10, P14.06</x:t>
  </x:si>
  <x:si>
    <x:t xml:space="preserve">DOC19</x:t>
  </x:si>
  <x:si>
    <x:t xml:space="preserve">Entidades e integridad</x:t>
  </x:si>
  <x:si>
    <x:t xml:space="preserve">Requisitos_ReFind.docx, apartado 19</x:t>
  </x:si>
  <x:si>
    <x:t xml:space="preserve">DOC20</x:t>
  </x:si>
  <x:si>
    <x:t xml:space="preserve">Roles y permisos</x:t>
  </x:si>
  <x:si>
    <x:t xml:space="preserve">Requisitos_ReFind.docx, apartado 20</x:t>
  </x:si>
  <x:si>
    <x:t xml:space="preserve">P01.06, P04.05, P04.06, P04.07, P04.08, P05.01, P05.02, P05.03, P05.04, P05.05, P05.06, P05.07, P06.03, P06.04, P06.05, P06.06, P06.07, P06.08, P06.09, P07.11, P07.12, P07.13, P07.14, P07.15, P07.16, P07.17, P07.18, P08.06, P08.07, P08.08, P08.09, P09.01, P09.02, P09.03, P09.04, P10.01, P10.02, P10.03, P12.01, P12.02, P12.03, P12.04, P14.03</x:t>
  </x:si>
  <x:si>
    <x:t xml:space="preserve">DOC21</x:t>
  </x:si>
  <x:si>
    <x:t xml:space="preserve">Pruebas y estabilidad</x:t>
  </x:si>
  <x:si>
    <x:t xml:space="preserve">Requisitos_ReFind.docx, apartado 21</x:t>
  </x:si>
  <x:si>
    <x:t xml:space="preserve">FUT22</x:t>
  </x:si>
  <x:si>
    <x:t xml:space="preserve">Coincidencias más precisas</x:t>
  </x:si>
  <x:si>
    <x:t xml:space="preserve">Requisitos_ReFind.docx, apartado 22</x:t>
  </x:si>
  <x:si>
    <x:t xml:space="preserve">Pendiente de definir. Fuera de tareas, horas y reparto.</x:t>
  </x:si>
  <x:si>
    <x:t xml:space="preserve">FUT23</x:t>
  </x:si>
  <x:si>
    <x:t xml:space="preserve">Comparación avanzada de descripciones</x:t>
  </x:si>
  <x:si>
    <x:t xml:space="preserve">Requisitos_ReFind.docx, apartado 23</x:t>
  </x:si>
  <x:si>
    <x:t xml:space="preserve">FUT24</x:t>
  </x:si>
  <x:si>
    <x:t xml:space="preserve">Comparación mediante fotografías</x:t>
  </x:si>
  <x:si>
    <x:t xml:space="preserve">Requisitos_ReFind.docx, apartado 24</x:t>
  </x:si>
  <x:si>
    <x:t xml:space="preserve">FUT25</x:t>
  </x:si>
  <x:si>
    <x:t xml:space="preserve">Mapas y zonas</x:t>
  </x:si>
  <x:si>
    <x:t xml:space="preserve">Requisitos_ReFind.docx, apartado 25</x:t>
  </x:si>
  <x:si>
    <x:t xml:space="preserve">FUT26</x:t>
  </x:si>
  <x:si>
    <x:t xml:space="preserve">Detección de comportamientos sospechosos</x:t>
  </x:si>
  <x:si>
    <x:t xml:space="preserve">Requisitos_ReFind.docx, apartado 26</x:t>
  </x:si>
  <x:si>
    <x:t xml:space="preserve">FUT27</x:t>
  </x:si>
  <x:si>
    <x:t xml:space="preserve">Valoraciones</x:t>
  </x:si>
  <x:si>
    <x:t xml:space="preserve">Requisitos_ReFind.docx, apartado 27</x:t>
  </x:si>
  <x:si>
    <x:t xml:space="preserve">FUT28</x:t>
  </x:si>
  <x:si>
    <x:t xml:space="preserve">Varias organizaciones y administración</x:t>
  </x:si>
  <x:si>
    <x:t xml:space="preserve">Requisitos_ReFind.docx, apartado 28</x:t>
  </x:si>
  <x:si>
    <x:t xml:space="preserve">FUT29</x:t>
  </x:si>
  <x:si>
    <x:t xml:space="preserve">Puntos de entrega y QR</x:t>
  </x:si>
  <x:si>
    <x:t xml:space="preserve">Requisitos_ReFind.docx, apartado 29</x:t>
  </x:si>
  <x:si>
    <x:t xml:space="preserve">FUT30</x:t>
  </x:si>
  <x:si>
    <x:t xml:space="preserve">Estadísticas</x:t>
  </x:si>
  <x:si>
    <x:t xml:space="preserve">Requisitos_ReFind.docx, apartado 30</x:t>
  </x:si>
  <x:si>
    <x:t xml:space="preserve">FUT31</x:t>
  </x:si>
  <x:si>
    <x:t xml:space="preserve">Inteligencia artificial</x:t>
  </x:si>
  <x:si>
    <x:t xml:space="preserve">Requisitos_ReFind.docx, apartado 31</x:t>
  </x:si>
  <x:si>
    <x:t xml:space="preserve">FUT32</x:t>
  </x:si>
  <x:si>
    <x:t xml:space="preserve">Creación automática de publicaciones</x:t>
  </x:si>
  <x:si>
    <x:t xml:space="preserve">Requisitos_ReFind.docx, apartado 32</x:t>
  </x:si>
  <x:si>
    <x:t xml:space="preserve">FUT33</x:t>
  </x:si>
  <x:si>
    <x:t xml:space="preserve">Aprendizaje de coincidencias</x:t>
  </x:si>
  <x:si>
    <x:t xml:space="preserve">Requisitos_ReFind.docx, apartado 33</x:t>
  </x:si>
  <x:si>
    <x:t xml:space="preserve">FUT34</x:t>
  </x:si>
  <x:si>
    <x:t xml:space="preserve">Integración y escalabilidad</x:t>
  </x:si>
  <x:si>
    <x:t xml:space="preserve">Requisitos_ReFind.docx, apartado 34</x:t>
  </x:si>
  <x:si>
    <x:t xml:space="preserve">ReFind · correspondencia de iteraciones con Git</x:t>
  </x:si>
  <x:si>
    <x:t xml:space="preserve">Revisión del historial local hasta 7a6b88f. No se han ejecutado suites ni modificado código.</x:t>
  </x:si>
  <x:si>
    <x:t xml:space="preserve">Un commit puede cubrir varias iteraciones propuestas. Su fecha no acredita horas, fecha real de fin, ejecución en verde ni fecha del push.</x:t>
  </x:si>
  <x:si>
    <x:t xml:space="preserve">Las iteraciones futuras conservan su alcance previsto. No se les atribuyen archivos ni commits que aún no existen.</x:t>
  </x:si>
  <x:si>
    <x:t xml:space="preserve">Módulo / iteración</x:t>
  </x:si>
  <x:si>
    <x:t xml:space="preserve">Tareas</x:t>
  </x:si>
  <x:si>
    <x:t xml:space="preserve">Entrega planificada</x:t>
  </x:si>
  <x:si>
    <x:t xml:space="preserve">Commits relacionados</x:t>
  </x:si>
  <x:si>
    <x:t xml:space="preserve">Fecha y autor del commit (no fecha real de tarea)</x:t>
  </x:si>
  <x:si>
    <x:t xml:space="preserve">Archivos de código / configuración</x:t>
  </x:si>
  <x:si>
    <x:t xml:space="preserve">Archivos de pruebas</x:t>
  </x:si>
  <x:si>
    <x:t xml:space="preserve">Documentación</x:t>
  </x:si>
  <x:si>
    <x:t xml:space="preserve">Correspondencia de alcance</x:t>
  </x:si>
  <x:si>
    <x:t xml:space="preserve">Diferencias y límites</x:t>
  </x:si>
  <x:si>
    <x:t xml:space="preserve">P01/1</x:t>
  </x:si>
  <x:si>
    <x:t xml:space="preserve">P01.01, P01.02, P01.03, P01.04, P01.05</x:t>
  </x:si>
  <x:si>
    <x:t xml:space="preserve">Herramientas locales preparadas (agrupación retrospectiva).</x:t>
  </x:si>
  <x:si>
    <x:t xml:space="preserve">7f237b1, 6696d7c, 0ced1ae</x:t>
  </x:si>
  <x:si>
    <x:t xml:space="preserve">7f237b1 | 2026-09-24T19:26:35+02:00 | Jesus Joana | Documentación de requisitos inciales del trabajo
6696d7c | 2026-09-28T10:23:10+02:00 | Jesus Joana | Manual para trabajar en el entorno
0ced1ae | 2026-09-30T17:42:45+02:00 | Jesus Joana | Actualización manuales y especificación scripts de validación de entorno</x:t>
  </x:si>
  <x:si>
    <x:t xml:space="preserve">.node-version
package.json
package-lock.json</x:t>
  </x:si>
  <x:si>
    <x:t xml:space="preserve">scripts/check-environment.js</x:t>
  </x:si>
  <x:si>
    <x:t xml:space="preserve">docs/Manual_entorno_ReFind.md
docs/Manual_entorno_ReFind_resumido.md</x:t>
  </x:si>
  <x:si>
    <x:t xml:space="preserve">Declarada localmente; Git acredita preparación documental
Registro histórico sin cierre verificable</x:t>
  </x:si>
  <x:si>
    <x:t xml:space="preserve">No hay evidencia versionada de instalación individual ni commit de finalización. Mantener 1 h reportada por tarea y fechas reales vacías.
No se localiza implementación de servidor compartido. El servidor actual escucha en 127.0.0.1. No dar por probado acceso entre equipos.</x:t>
  </x:si>
  <x:si>
    <x:t xml:space="preserve">Sin cierre verificable en Git: trabajo local declarado.</x:t>
  </x:si>
  <x:si>
    <x:t xml:space="preserve">P01/2</x:t>
  </x:si>
  <x:si>
    <x:t xml:space="preserve">P01.06</x:t>
  </x:si>
  <x:si>
    <x:t xml:space="preserve">Criterios verificables acordados para comenzar cada módulo.</x:t>
  </x:si>
  <x:si>
    <x:t xml:space="preserve">Sin código asociado.</x:t>
  </x:si>
  <x:si>
    <x:t xml:space="preserve">Sin prueba específica versionada asociada.</x:t>
  </x:si>
  <x:si>
    <x:t xml:space="preserve">docs/Requisitos_ReFind.docx
docs/Requisitos.xlsx (plan local pendiente de commit)</x:t>
  </x:si>
  <x:si>
    <x:t xml:space="preserve">Pendiente. No se localizaron archivos que implementen esta entrega en el estado actual.</x:t>
  </x:si>
  <x:si>
    <x:t xml:space="preserve">La documentación de requisitos describe el objetivo, no su implementación. Crear código y pruebas dentro de esta iteración; registrar su commit al cerrarla.</x:t>
  </x:si>
  <x:si>
    <x:t xml:space="preserve">Pendiente: sin implementación atribuible.</x:t>
  </x:si>
  <x:si>
    <x:t xml:space="preserve">P02/1</x:t>
  </x:si>
  <x:si>
    <x:t xml:space="preserve">P02.01</x:t>
  </x:si>
  <x:si>
    <x:t xml:space="preserve">Instancia PostgreSQL local comprobada.</x:t>
  </x:si>
  <x:si>
    <x:t xml:space="preserve">0ced1ae, 79ecb90</x:t>
  </x:si>
  <x:si>
    <x:t xml:space="preserve">0ced1ae | 2026-09-30T17:42:45+02:00 | Jesus Joana | Actualización manuales y especificación scripts de validación de entorno
79ecb90 | 2026-09-30T20:27:03+02:00 | Jesus Joana | Manuales de instalación de Bases de datos terminada</x:t>
  </x:si>
  <x:si>
    <x:t xml:space="preserve">scripts/check-database.js</x:t>
  </x:si>
  <x:si>
    <x:t xml:space="preserve">docs/Manual_base_datos_ReFind.md
scripts/README.md</x:t>
  </x:si>
  <x:si>
    <x:t xml:space="preserve">Instalación local declarada; manual y comprobador versionados</x:t>
  </x:si>
  <x:si>
    <x:t xml:space="preserve">Git no contiene las bases, los roles ni los .env locales. check:db consulta permisos; no prueba escritura, reinicio ni pgAdmin. Cierre local comunicado fuera de Git.</x:t>
  </x:si>
  <x:si>
    <x:t xml:space="preserve">P02/2</x:t>
  </x:si>
  <x:si>
    <x:t xml:space="preserve">P02.02</x:t>
  </x:si>
  <x:si>
    <x:t xml:space="preserve">Migraciones de usuarios y sesiones reutilizables.</x:t>
  </x:si>
  <x:si>
    <x:t xml:space="preserve">ac48a95</x:t>
  </x:si>
  <x:si>
    <x:t xml:space="preserve">ac48a95 | 2026-10-01T11:05:57+02:00 | Iñigo | Migraciones de las tablas users y session, configuración de entornos y manuales actualizados</x:t>
  </x:si>
  <x:si>
    <x:t xml:space="preserve">migrations/001_create-users.js
migrations/002_create-session.js
scripts/migrate.js
package.json</x:t>
  </x:si>
  <x:si>
    <x:t xml:space="preserve">Alcance de código disponible en ac48a95</x:t>
  </x:si>
  <x:si>
    <x:t xml:space="preserve">Solo users y session. No hay suite específica de aplicación/repetición de migraciones en base vacía. Las pruebas posteriores de auth y sesiones usan tablas ya preparadas.</x:t>
  </x:si>
  <x:si>
    <x:t xml:space="preserve">Código trazado; cierre formal de iteración y verde histórico no registrados en Git.</x:t>
  </x:si>
  <x:si>
    <x:t xml:space="preserve">P02/3</x:t>
  </x:si>
  <x:si>
    <x:t xml:space="preserve">P02.03</x:t>
  </x:si>
  <x:si>
    <x:t xml:space="preserve">Configuración validada para los tres entornos.</x:t>
  </x:si>
  <x:si>
    <x:t xml:space="preserve">ac48a95, c3c9b39</x:t>
  </x:si>
  <x:si>
    <x:t xml:space="preserve">ac48a95 | 2026-10-01T11:05:57+02:00 | Iñigo | Migraciones de las tablas users y session, configuración de entornos y manuales actualizados
c3c9b39 | 2026-10-01T18:26:53+02:00 | Jesus Joana | Revisión cobertura test y amplicación, creación pagina inicial.</x:t>
  </x:si>
  <x:si>
    <x:t xml:space="preserve">src/config.js
.env.example</x:t>
  </x:si>
  <x:si>
    <x:t xml:space="preserve">tests/unit/config.test.js</x:t>
  </x:si>
  <x:si>
    <x:t xml:space="preserve">tests/README.md
docs/Manual_entorno_ReFind_resumido.md</x:t>
  </x:si>
  <x:si>
    <x:t xml:space="preserve">Alcance actual de código y pruebas disponible en c3c9b39</x:t>
  </x:si>
  <x:si>
    <x:t xml:space="preserve">Código inicial en ac48a95; c3c9b39 añade unitarias y corrige parámetros URL y usuario mal codificado. tests/README documenta el rojo de cinco casos, no una secuencia de commits rojo/verde.</x:t>
  </x:si>
  <x:si>
    <x:t xml:space="preserve">P02/4</x:t>
  </x:si>
  <x:si>
    <x:t xml:space="preserve">P02.04, P02.05</x:t>
  </x:si>
  <x:si>
    <x:t xml:space="preserve">Servidor con sesiones seguras para los demás módulos.</x:t>
  </x:si>
  <x:si>
    <x:t xml:space="preserve">68960da, c3c9b39</x:t>
  </x:si>
  <x:si>
    <x:t xml:space="preserve">68960da | 2026-10-01T16:05:10+02:00 | Iñigo | Servidor Express base con gestión de sesiones, pruebas y guía actualizada
c3c9b39 | 2026-10-01T18:26:53+02:00 | Jesus Joana | Revisión cobertura test y amplicación, creación pagina inicial.</x:t>
  </x:si>
  <x:si>
    <x:t xml:space="preserve">src/app.js
src/server.js
views/error.ejs
src/session.js</x:t>
  </x:si>
  <x:si>
    <x:t xml:space="preserve">tests/integration/server.test.js
tests/e2e/server.spec.js
tests/integration/session.test.js
tests/unit/session.test.js</x:t>
  </x:si>
  <x:si>
    <x:t xml:space="preserve">docs/Manual_entorno_ReFind_resumido.md
tests/README.md</x:t>
  </x:si>
  <x:si>
    <x:t xml:space="preserve">Servidor base en 68960da; pruebas ampliadas en c3c9b39
Sesiones e integración en 68960da; unitarias en c3c9b39</x:t>
  </x:si>
  <x:si>
    <x:t xml:space="preserve">Hay arranque y cierre por señales en el código. Las suites no demuestran explícitamente el apagado de proceso por SIGINT/SIGTERM; no declarar esa cobertura.
Las unitarias se añadieron después del código. Cookie para HTTP local (secure:false), no cierre de seguridad HTTPS/producción. Cambio en 7a6b88f de session.js es solo comentario.</x:t>
  </x:si>
  <x:si>
    <x:t xml:space="preserve">P02/5</x:t>
  </x:si>
  <x:si>
    <x:t xml:space="preserve">P02.06</x:t>
  </x:si>
  <x:si>
    <x:t xml:space="preserve">Ejecutores de pruebas disponibles.</x:t>
  </x:si>
  <x:si>
    <x:t xml:space="preserve">0ced1ae, 68960da, c3c9b39</x:t>
  </x:si>
  <x:si>
    <x:t xml:space="preserve">0ced1ae | 2026-09-30T17:42:45+02:00 | Jesus Joana | Actualización manuales y especificación scripts de validación de entorno
68960da | 2026-10-01T16:05:10+02:00 | Iñigo | Servidor Express base con gestión de sesiones, pruebas y guía actualizada
c3c9b39 | 2026-10-01T18:26:53+02:00 | Jesus Joana | Revisión cobertura test y amplicación, creación pagina inicial.</x:t>
  </x:si>
  <x:si>
    <x:t xml:space="preserve">package.json
vitest.setup.config.js
playwright.setup.config.js
vitest.config.js
playwright.config.js</x:t>
  </x:si>
  <x:si>
    <x:t xml:space="preserve">tests/setup/tools.test.js
tests/setup/http.js
tests/setup/browser.spec.js</x:t>
  </x:si>
  <x:si>
    <x:t xml:space="preserve">docs/Manual_pruebas_ReFind.md
docs/Manual_pruebas_ReFind_resumido.md
scripts/README.md
tests/README.md</x:t>
  </x:si>
  <x:si>
    <x:t xml:space="preserve">Herramientas en 0ced1ae; separación y E2E completos en c3c9b39</x:t>
  </x:si>
  <x:si>
    <x:t xml:space="preserve">Instalar herramientas no prueba la aplicación. No se localizaron informes de ejecución ni CI versionados que certifiquen verde por commit.</x:t>
  </x:si>
  <x:si>
    <x:t xml:space="preserve">P02/6</x:t>
  </x:si>
  <x:si>
    <x:t xml:space="preserve">P02.07</x:t>
  </x:si>
  <x:si>
    <x:t xml:space="preserve">Entorno de Alvaro validado.</x:t>
  </x:si>
  <x:si>
    <x:t xml:space="preserve">P02/7</x:t>
  </x:si>
  <x:si>
    <x:t xml:space="preserve">P02.08</x:t>
  </x:si>
  <x:si>
    <x:t xml:space="preserve">Entorno de Jorge validado.</x:t>
  </x:si>
  <x:si>
    <x:t xml:space="preserve">P02/8</x:t>
  </x:si>
  <x:si>
    <x:t xml:space="preserve">P02.09</x:t>
  </x:si>
  <x:si>
    <x:t xml:space="preserve">Entorno de Iñigo validado.</x:t>
  </x:si>
  <x:si>
    <x:t xml:space="preserve">P02/9</x:t>
  </x:si>
  <x:si>
    <x:t xml:space="preserve">P02.10</x:t>
  </x:si>
  <x:si>
    <x:t xml:space="preserve">Entorno de Gonzalo validado.</x:t>
  </x:si>
  <x:si>
    <x:t xml:space="preserve">P02/10</x:t>
  </x:si>
  <x:si>
    <x:t xml:space="preserve">P02.11</x:t>
  </x:si>
  <x:si>
    <x:t xml:space="preserve">Entorno de Alejandro validado.</x:t>
  </x:si>
  <x:si>
    <x:t xml:space="preserve">P03/1</x:t>
  </x:si>
  <x:si>
    <x:t xml:space="preserve">P03.01</x:t>
  </x:si>
  <x:si>
    <x:t xml:space="preserve">Portada disponible (agrupación retrospectiva).</x:t>
  </x:si>
  <x:si>
    <x:t xml:space="preserve">c3c9b39</x:t>
  </x:si>
  <x:si>
    <x:t xml:space="preserve">c3c9b39 | 2026-10-01T18:26:53+02:00 | Jesus Joana | Revisión cobertura test y amplicación, creación pagina inicial.</x:t>
  </x:si>
  <x:si>
    <x:t xml:space="preserve">views/index.ejs
views/partials/icons.ejs
public/css/refind.css
public/js/home.js
public/images/campus.webp
public/images/backpack.webp
public/images/keys.webp
public/images/earbuds.webp</x:t>
  </x:si>
  <x:si>
    <x:t xml:space="preserve">tests/integration/server.test.js
tests/e2e/server.spec.js</x:t>
  </x:si>
  <x:si>
    <x:t xml:space="preserve">docs/Imagenes_portada_ReFind.md
tests/README.md</x:t>
  </x:si>
  <x:si>
    <x:t xml:space="preserve">Portada y pruebas disponibles en c3c9b39</x:t>
  </x:si>
  <x:si>
    <x:t xml:space="preserve">Busca y filtra ejemplos locales; no cubre RF9/RF10 con datos reales. Los enlaces de registro/acceso se conectan después, en 7a6b88f.</x:t>
  </x:si>
  <x:si>
    <x:t xml:space="preserve">P03/2</x:t>
  </x:si>
  <x:si>
    <x:t xml:space="preserve">P03.02, P03.03</x:t>
  </x:si>
  <x:si>
    <x:t xml:space="preserve">Menú conectado a las secciones disponibles.</x:t>
  </x:si>
  <x:si>
    <x:t xml:space="preserve">c3c9b39, 7a6b88f</x:t>
  </x:si>
  <x:si>
    <x:t xml:space="preserve">c3c9b39 | 2026-10-01T18:26:53+02:00 | Jesus Joana | Revisión cobertura test y amplicación, creación pagina inicial.
7a6b88f | 2026-10-01T18:48:58+02:00 | Jesus Joana | Pagina de registro e iniciar sesion implementadas y probadas. También implementadas pruebas unitarias e integracion</x:t>
  </x:si>
  <x:si>
    <x:t xml:space="preserve">views/index.ejs
public/js/home.js
src/auth/routes.js</x:t>
  </x:si>
  <x:si>
    <x:t xml:space="preserve">tests/e2e/server.spec.js
tests/e2e/auth.spec.js</x:t>
  </x:si>
  <x:si>
    <x:t xml:space="preserve">docs/Registro_acceso_ReFind.md
tests/README.md</x:t>
  </x:si>
  <x:si>
    <x:t xml:space="preserve">Parcial: enlaces de cuenta disponibles en 7a6b88f</x:t>
  </x:si>
  <x:si>
    <x:t xml:space="preserve">No existe todavía menú completo de futuras secciones ni sus rutas. Las acciones de publicar muestran avisos; no cerrar la iteración P03/2.</x:t>
  </x:si>
  <x:si>
    <x:t xml:space="preserve">Sin cierre: alcance solo parcial.</x:t>
  </x:si>
  <x:si>
    <x:t xml:space="preserve">P04/1</x:t>
  </x:si>
  <x:si>
    <x:t xml:space="preserve">P04.01, P04.03</x:t>
  </x:si>
  <x:si>
    <x:t xml:space="preserve">Servicio de registro protegido.</x:t>
  </x:si>
  <x:si>
    <x:t xml:space="preserve">7a6b88f</x:t>
  </x:si>
  <x:si>
    <x:t xml:space="preserve">7a6b88f | 2026-10-01T18:48:58+02:00 | Jesus Joana | Pagina de registro e iniciar sesion implementadas y probadas. También implementadas pruebas unitarias e integracion</x:t>
  </x:si>
  <x:si>
    <x:t xml:space="preserve">src/auth/service.js
src/auth/validation.js
src/auth/routes.js
src/auth/security.js</x:t>
  </x:si>
  <x:si>
    <x:t xml:space="preserve">tests/unit/auth-service.test.js
tests/unit/auth-validation.test.js
tests/integration/auth.test.js
tests/unit/auth-security.test.js</x:t>
  </x:si>
  <x:si>
    <x:t xml:space="preserve">Implementación y pruebas incluidas juntas en 7a6b88f</x:t>
  </x:si>
  <x:si>
    <x:t xml:space="preserve">Reutiliza users de ac48a95; no crea una nueva tabla. Longitud de contraseña y organización son criterios aplicados pendientes de ratificación.
CSRF y limitador local por IP. Límite en memoria no compartido entre servidores. El test del limitador es unitario, no demuestra toda la cadena HTTP de limitación.</x:t>
  </x:si>
  <x:si>
    <x:t xml:space="preserve">P04/2</x:t>
  </x:si>
  <x:si>
    <x:t xml:space="preserve">P04.02, P04.04</x:t>
  </x:si>
  <x:si>
    <x:t xml:space="preserve">Formulario de registro conectado y probado.</x:t>
  </x:si>
  <x:si>
    <x:t xml:space="preserve">views/auth.ejs
public/css/auth.css
public/js/auth.js
views/index.ejs
src/auth/routes.js
src/auth/service.js
src/app.js</x:t>
  </x:si>
  <x:si>
    <x:t xml:space="preserve">tests/integration/auth.test.js
tests/e2e/auth.spec.js</x:t>
  </x:si>
  <x:si>
    <x:t xml:space="preserve">Formulario real de registro; confirmación en pantalla no es verificación de correo.
Pruebas con usuarios temporales y PostgreSQL real de test/e2e; no son pruebas unitarias.</x:t>
  </x:si>
  <x:si>
    <x:t xml:space="preserve">P04/3</x:t>
  </x:si>
  <x:si>
    <x:t xml:space="preserve">P04.05, P04.07</x:t>
  </x:si>
  <x:si>
    <x:t xml:space="preserve">Servicio de acceso y salida con protección de sesión.</x:t>
  </x:si>
  <x:si>
    <x:t xml:space="preserve">7a6b88f, 68960da, c3c9b39</x:t>
  </x:si>
  <x:si>
    <x:t xml:space="preserve">7a6b88f | 2026-10-01T18:48:58+02:00 | Jesus Joana | Pagina de registro e iniciar sesion implementadas y probadas. También implementadas pruebas unitarias e integracion
68960da | 2026-10-01T16:05:10+02:00 | Iñigo | Servidor Express base con gestión de sesiones, pruebas y guía actualizada
c3c9b39 | 2026-10-01T18:26:53+02:00 | Jesus Joana | Revisión cobertura test y amplicación, creación pagina inicial.</x:t>
  </x:si>
  <x:si>
    <x:t xml:space="preserve">src/auth/service.js
src/auth/routes.js
src/session.js
src/auth/security.js</x:t>
  </x:si>
  <x:si>
    <x:t xml:space="preserve">tests/unit/auth-service.test.js
tests/integration/auth.test.js
tests/unit/session.test.js
tests/unit/auth-security.test.js
tests/integration/session.test.js</x:t>
  </x:si>
  <x:si>
    <x:t xml:space="preserve">Flujo con credenciales reales disponible en 7a6b88f
Protección del flujo real completada en 7a6b88f</x:t>
  </x:si>
  <x:si>
    <x:t xml:space="preserve">Sesiones base ya existían en 68960da; las pruebas anteriores simulaban identidad, no registro real.
Renovación de sesión existía en 68960da; 7a6b88f conecta credenciales, CSRF y protección del acceso.</x:t>
  </x:si>
  <x:si>
    <x:t xml:space="preserve">P04/4</x:t>
  </x:si>
  <x:si>
    <x:t xml:space="preserve">P04.06, P04.08</x:t>
  </x:si>
  <x:si>
    <x:t xml:space="preserve">Acceso y salida completos en navegador.</x:t>
  </x:si>
  <x:si>
    <x:t xml:space="preserve">views/auth.ejs
views/index.ejs
public/css/auth.css
public/js/auth.js
src/auth/routes.js
src/app.js
src/session.js</x:t>
  </x:si>
  <x:si>
    <x:t xml:space="preserve">tests/e2e/auth.spec.js
tests/integration/auth.test.js</x:t>
  </x:si>
  <x:si>
    <x:t xml:space="preserve">Entrada desde portada, errores y salida al acceso. No incluye perfil ni recuperación.
Comprueba registro, acceso, recarga y salida. El documento describe TDD; no se versionaron registros rojo/verde de ejecución.</x:t>
  </x:si>
  <x:si>
    <x:t xml:space="preserve">P04/5</x:t>
  </x:si>
  <x:si>
    <x:t xml:space="preserve">P04.09, P04.11</x:t>
  </x:si>
  <x:si>
    <x:t xml:space="preserve">Servicio seguro de cambio de contraseña.</x:t>
  </x:si>
  <x:si>
    <x:t xml:space="preserve">P04/6</x:t>
  </x:si>
  <x:si>
    <x:t xml:space="preserve">P04.10, P04.12</x:t>
  </x:si>
  <x:si>
    <x:t xml:space="preserve">Cambio de contraseña desde formulario.</x:t>
  </x:si>
  <x:si>
    <x:t xml:space="preserve">P04/7</x:t>
  </x:si>
  <x:si>
    <x:t xml:space="preserve">P04.13</x:t>
  </x:si>
  <x:si>
    <x:t xml:space="preserve">Persistencia segura de tokens reutilizable.</x:t>
  </x:si>
  <x:si>
    <x:t xml:space="preserve">P04/8</x:t>
  </x:si>
  <x:si>
    <x:t xml:space="preserve">P04.14, P04.15</x:t>
  </x:si>
  <x:si>
    <x:t xml:space="preserve">Emisión de token y correo con protección contra abuso.</x:t>
  </x:si>
  <x:si>
    <x:t xml:space="preserve">P04/9</x:t>
  </x:si>
  <x:si>
    <x:t xml:space="preserve">P04.16</x:t>
  </x:si>
  <x:si>
    <x:t xml:space="preserve">Servicio de consumo de token probado.</x:t>
  </x:si>
  <x:si>
    <x:t xml:space="preserve">P04/10</x:t>
  </x:si>
  <x:si>
    <x:t xml:space="preserve">P04.17, P04.18</x:t>
  </x:si>
  <x:si>
    <x:t xml:space="preserve">Recuperación completa desde correo y navegador.</x:t>
  </x:si>
  <x:si>
    <x:t xml:space="preserve">P05/1</x:t>
  </x:si>
  <x:si>
    <x:t xml:space="preserve">P05.01, P05.03</x:t>
  </x:si>
  <x:si>
    <x:t xml:space="preserve">Consulta autorizada del perfil reutilizable.</x:t>
  </x:si>
  <x:si>
    <x:t xml:space="preserve">P05/2</x:t>
  </x:si>
  <x:si>
    <x:t xml:space="preserve">P05.02</x:t>
  </x:si>
  <x:si>
    <x:t xml:space="preserve">Vista del perfil conectada.</x:t>
  </x:si>
  <x:si>
    <x:t xml:space="preserve">P05/3</x:t>
  </x:si>
  <x:si>
    <x:t xml:space="preserve">P05.04, P05.06</x:t>
  </x:si>
  <x:si>
    <x:t xml:space="preserve">Edición autorizada de datos del perfil.</x:t>
  </x:si>
  <x:si>
    <x:t xml:space="preserve">P05/4</x:t>
  </x:si>
  <x:si>
    <x:t xml:space="preserve">P05.05, P05.07</x:t>
  </x:si>
  <x:si>
    <x:t xml:space="preserve">Formulario de edición y persistencia comprobados.</x:t>
  </x:si>
  <x:si>
    <x:t xml:space="preserve">P06/1</x:t>
  </x:si>
  <x:si>
    <x:t xml:space="preserve">P06.01</x:t>
  </x:si>
  <x:si>
    <x:t xml:space="preserve">Modelo de publicaciones y ubicaciones con pruebas de migración propias.</x:t>
  </x:si>
  <x:si>
    <x:t xml:space="preserve">P06/2</x:t>
  </x:si>
  <x:si>
    <x:t xml:space="preserve">P06.02</x:t>
  </x:si>
  <x:si>
    <x:t xml:space="preserve">Restricciones y persistencia del modelo verificadas adicionalmente.</x:t>
  </x:si>
  <x:si>
    <x:t xml:space="preserve">P06/3</x:t>
  </x:si>
  <x:si>
    <x:t xml:space="preserve">P06.03, P06.05</x:t>
  </x:si>
  <x:si>
    <x:t xml:space="preserve">Servicio protegido para publicar un objeto perdido.</x:t>
  </x:si>
  <x:si>
    <x:t xml:space="preserve">P06/4</x:t>
  </x:si>
  <x:si>
    <x:t xml:space="preserve">P06.04, P06.06</x:t>
  </x:si>
  <x:si>
    <x:t xml:space="preserve">Publicación de objeto perdido desde formulario.</x:t>
  </x:si>
  <x:si>
    <x:t xml:space="preserve">P06/5</x:t>
  </x:si>
  <x:si>
    <x:t xml:space="preserve">P06.07</x:t>
  </x:si>
  <x:si>
    <x:t xml:space="preserve">Servicio de objeto encontrado con controles compartidos.</x:t>
  </x:si>
  <x:si>
    <x:t xml:space="preserve">P06/6</x:t>
  </x:si>
  <x:si>
    <x:t xml:space="preserve">P06.08, P06.09</x:t>
  </x:si>
  <x:si>
    <x:t xml:space="preserve">Publicación de objeto encontrado desde formulario.</x:t>
  </x:si>
  <x:si>
    <x:t xml:space="preserve">P06/7</x:t>
  </x:si>
  <x:si>
    <x:t xml:space="preserve">P06.10, P06.12</x:t>
  </x:si>
  <x:si>
    <x:t xml:space="preserve">Servicio seguro de procesamiento de imágenes.</x:t>
  </x:si>
  <x:si>
    <x:t xml:space="preserve">P06/8</x:t>
  </x:si>
  <x:si>
    <x:t xml:space="preserve">P06.11</x:t>
  </x:si>
  <x:si>
    <x:t xml:space="preserve">Carga de fotos conectada a la interfaz.</x:t>
  </x:si>
  <x:si>
    <x:t xml:space="preserve">P06/9</x:t>
  </x:si>
  <x:si>
    <x:t xml:space="preserve">P06.13, P06.15</x:t>
  </x:si>
  <x:si>
    <x:t xml:space="preserve">Persistencia de detalles privados con exclusión de respuestas públicas.</x:t>
  </x:si>
  <x:si>
    <x:t xml:space="preserve">P06/10</x:t>
  </x:si>
  <x:si>
    <x:t xml:space="preserve">P06.14</x:t>
  </x:si>
  <x:si>
    <x:t xml:space="preserve">Captura de detalles privados conectada.</x:t>
  </x:si>
  <x:si>
    <x:t xml:space="preserve">P07/1</x:t>
  </x:si>
  <x:si>
    <x:t xml:space="preserve">P07.01, P07.02</x:t>
  </x:si>
  <x:si>
    <x:t xml:space="preserve">Consulta paginada y servicio de listado para consumidores.</x:t>
  </x:si>
  <x:si>
    <x:t xml:space="preserve">P07/2</x:t>
  </x:si>
  <x:si>
    <x:t xml:space="preserve">P07.03</x:t>
  </x:si>
  <x:si>
    <x:t xml:space="preserve">Listado real visible en la portada.</x:t>
  </x:si>
  <x:si>
    <x:t xml:space="preserve">P07/3</x:t>
  </x:si>
  <x:si>
    <x:t xml:space="preserve">P07.04, P07.06</x:t>
  </x:si>
  <x:si>
    <x:t xml:space="preserve">Servicio de detalle con privacidad verificada.</x:t>
  </x:si>
  <x:si>
    <x:t xml:space="preserve">P07/4</x:t>
  </x:si>
  <x:si>
    <x:t xml:space="preserve">P07.05</x:t>
  </x:si>
  <x:si>
    <x:t xml:space="preserve">Página de detalle conectada.</x:t>
  </x:si>
  <x:si>
    <x:t xml:space="preserve">P07/5</x:t>
  </x:si>
  <x:si>
    <x:t xml:space="preserve">P07.07, P07.08</x:t>
  </x:si>
  <x:si>
    <x:t xml:space="preserve">Consultas parametrizadas y servicio de filtros.</x:t>
  </x:si>
  <x:si>
    <x:t xml:space="preserve">P07/6</x:t>
  </x:si>
  <x:si>
    <x:t xml:space="preserve">P07.09, P07.10</x:t>
  </x:si>
  <x:si>
    <x:t xml:space="preserve">Buscador y filtros comprobados desde interfaz.</x:t>
  </x:si>
  <x:si>
    <x:t xml:space="preserve">P07/7</x:t>
  </x:si>
  <x:si>
    <x:t xml:space="preserve">P07.11, P07.13</x:t>
  </x:si>
  <x:si>
    <x:t xml:space="preserve">Edición autorizada de publicaciones mediante servicio.</x:t>
  </x:si>
  <x:si>
    <x:t xml:space="preserve">P07/8</x:t>
  </x:si>
  <x:si>
    <x:t xml:space="preserve">P07.12, P07.14</x:t>
  </x:si>
  <x:si>
    <x:t xml:space="preserve">Edición completa desde formulario.</x:t>
  </x:si>
  <x:si>
    <x:t xml:space="preserve">P07/9</x:t>
  </x:si>
  <x:si>
    <x:t xml:space="preserve">P07.15, P07.16, P07.18</x:t>
  </x:si>
  <x:si>
    <x:t xml:space="preserve">Retirada autorizada con integridad de datos.</x:t>
  </x:si>
  <x:si>
    <x:t xml:space="preserve">P07/10</x:t>
  </x:si>
  <x:si>
    <x:t xml:space="preserve">P07.17</x:t>
  </x:si>
  <x:si>
    <x:t xml:space="preserve">Confirmación de retirada desde interfaz.</x:t>
  </x:si>
  <x:si>
    <x:t xml:space="preserve">P08/1</x:t>
  </x:si>
  <x:si>
    <x:t xml:space="preserve">P08.01</x:t>
  </x:si>
  <x:si>
    <x:t xml:space="preserve">Persistencia de coincidencias reutilizable.</x:t>
  </x:si>
  <x:si>
    <x:t xml:space="preserve">P08/2</x:t>
  </x:si>
  <x:si>
    <x:t xml:space="preserve">P08.02</x:t>
  </x:si>
  <x:si>
    <x:t xml:space="preserve">Reglas básicas de coincidencia probadas como componente.</x:t>
  </x:si>
  <x:si>
    <x:t xml:space="preserve">P08/3</x:t>
  </x:si>
  <x:si>
    <x:t xml:space="preserve">P08.03</x:t>
  </x:si>
  <x:si>
    <x:t xml:space="preserve">Cálculo y almacenamiento conectados.</x:t>
  </x:si>
  <x:si>
    <x:t xml:space="preserve">P08/4</x:t>
  </x:si>
  <x:si>
    <x:t xml:space="preserve">P08.04, P08.05</x:t>
  </x:si>
  <x:si>
    <x:t xml:space="preserve">Actualización de sugerencias tras cambios.</x:t>
  </x:si>
  <x:si>
    <x:t xml:space="preserve">P08/5</x:t>
  </x:si>
  <x:si>
    <x:t xml:space="preserve">P08.06, P08.08</x:t>
  </x:si>
  <x:si>
    <x:t xml:space="preserve">Servicio autorizado de consulta y revisión.</x:t>
  </x:si>
  <x:si>
    <x:t xml:space="preserve">P08/6</x:t>
  </x:si>
  <x:si>
    <x:t xml:space="preserve">P08.07, P08.09</x:t>
  </x:si>
  <x:si>
    <x:t xml:space="preserve">Revisión de sugerencias desde pantalla.</x:t>
  </x:si>
  <x:si>
    <x:t xml:space="preserve">P09/1</x:t>
  </x:si>
  <x:si>
    <x:t xml:space="preserve">P09.01</x:t>
  </x:si>
  <x:si>
    <x:t xml:space="preserve">Modelo de reclamaciones disponible.</x:t>
  </x:si>
  <x:si>
    <x:t xml:space="preserve">P09/2</x:t>
  </x:si>
  <x:si>
    <x:t xml:space="preserve">P09.02, P09.04</x:t>
  </x:si>
  <x:si>
    <x:t xml:space="preserve">Servicio protegido de creación de reclamaciones.</x:t>
  </x:si>
  <x:si>
    <x:t xml:space="preserve">P09/3</x:t>
  </x:si>
  <x:si>
    <x:t xml:space="preserve">P09.03</x:t>
  </x:si>
  <x:si>
    <x:t xml:space="preserve">Formulario de reclamación conectado.</x:t>
  </x:si>
  <x:si>
    <x:t xml:space="preserve">P09/4</x:t>
  </x:si>
  <x:si>
    <x:t xml:space="preserve">P09.05, P09.07</x:t>
  </x:si>
  <x:si>
    <x:t xml:space="preserve">Servicio de verificación con detalles protegidos.</x:t>
  </x:si>
  <x:si>
    <x:t xml:space="preserve">P09/5</x:t>
  </x:si>
  <x:si>
    <x:t xml:space="preserve">P09.06</x:t>
  </x:si>
  <x:si>
    <x:t xml:space="preserve">Pantallas de verificación conectadas.</x:t>
  </x:si>
  <x:si>
    <x:t xml:space="preserve">P09/6</x:t>
  </x:si>
  <x:si>
    <x:t xml:space="preserve">P09.08</x:t>
  </x:si>
  <x:si>
    <x:t xml:space="preserve">Transiciones de reclamación comprobadas como servicio.</x:t>
  </x:si>
  <x:si>
    <x:t xml:space="preserve">P09/7</x:t>
  </x:si>
  <x:si>
    <x:t xml:space="preserve">P09.09, P09.10</x:t>
  </x:si>
  <x:si>
    <x:t xml:space="preserve">Decisiones y estados verificados con dos usuarios.</x:t>
  </x:si>
  <x:si>
    <x:t xml:space="preserve">P10/1</x:t>
  </x:si>
  <x:si>
    <x:t xml:space="preserve">P10.01</x:t>
  </x:si>
  <x:si>
    <x:t xml:space="preserve">Modelo de conversaciones y participantes disponible.</x:t>
  </x:si>
  <x:si>
    <x:t xml:space="preserve">P10/2</x:t>
  </x:si>
  <x:si>
    <x:t xml:space="preserve">P10.02, P10.03</x:t>
  </x:si>
  <x:si>
    <x:t xml:space="preserve">Servicio de conversaciones restringido a participantes.</x:t>
  </x:si>
  <x:si>
    <x:t xml:space="preserve">P10/3</x:t>
  </x:si>
  <x:si>
    <x:t xml:space="preserve">P10.04</x:t>
  </x:si>
  <x:si>
    <x:t xml:space="preserve">Persistencia y consulta de mensajes disponible.</x:t>
  </x:si>
  <x:si>
    <x:t xml:space="preserve">P10/4</x:t>
  </x:si>
  <x:si>
    <x:t xml:space="preserve">P10.05, P10.07</x:t>
  </x:si>
  <x:si>
    <x:t xml:space="preserve">Servicio seguro de envío y lectura de mensajes.</x:t>
  </x:si>
  <x:si>
    <x:t xml:space="preserve">P10/5</x:t>
  </x:si>
  <x:si>
    <x:t xml:space="preserve">P10.06</x:t>
  </x:si>
  <x:si>
    <x:t xml:space="preserve">Pantalla de chat conectada.</x:t>
  </x:si>
  <x:si>
    <x:t xml:space="preserve">P10/6</x:t>
  </x:si>
  <x:si>
    <x:t xml:space="preserve">P10.08, P10.09, P10.10</x:t>
  </x:si>
  <x:si>
    <x:t xml:space="preserve">Listado y conversación entre dos usuarios comprobados.</x:t>
  </x:si>
  <x:si>
    <x:t xml:space="preserve">P11/1</x:t>
  </x:si>
  <x:si>
    <x:t xml:space="preserve">P11.01</x:t>
  </x:si>
  <x:si>
    <x:t xml:space="preserve">Modelo de entregas reutilizable.</x:t>
  </x:si>
  <x:si>
    <x:t xml:space="preserve">P11/2</x:t>
  </x:si>
  <x:si>
    <x:t xml:space="preserve">P11.02, P11.04</x:t>
  </x:si>
  <x:si>
    <x:t xml:space="preserve">Componente autorizado de registro de entrega; no exponer flujo incompleto.</x:t>
  </x:si>
  <x:si>
    <x:t xml:space="preserve">P11/3</x:t>
  </x:si>
  <x:si>
    <x:t xml:space="preserve">P11.03</x:t>
  </x:si>
  <x:si>
    <x:t xml:space="preserve">Interfaz de entrega preparada; habilitar acción al cerrar estados en iteración 4.</x:t>
  </x:si>
  <x:si>
    <x:t xml:space="preserve">P11/4</x:t>
  </x:si>
  <x:si>
    <x:t xml:space="preserve">P11.05, P11.06</x:t>
  </x:si>
  <x:si>
    <x:t xml:space="preserve">Devolución completa con cierre coherente del objeto.</x:t>
  </x:si>
  <x:si>
    <x:t xml:space="preserve">P12/1</x:t>
  </x:si>
  <x:si>
    <x:t xml:space="preserve">P12.01</x:t>
  </x:si>
  <x:si>
    <x:t xml:space="preserve">Modelo de notificaciones disponible.</x:t>
  </x:si>
  <x:si>
    <x:t xml:space="preserve">P12/2</x:t>
  </x:si>
  <x:si>
    <x:t xml:space="preserve">P12.02, P12.04</x:t>
  </x:si>
  <x:si>
    <x:t xml:space="preserve">Servicio de consulta y lectura restringido al destinatario.</x:t>
  </x:si>
  <x:si>
    <x:t xml:space="preserve">P12/3</x:t>
  </x:si>
  <x:si>
    <x:t xml:space="preserve">P12.03</x:t>
  </x:si>
  <x:si>
    <x:t xml:space="preserve">Pantalla de notificaciones conectada.</x:t>
  </x:si>
  <x:si>
    <x:t xml:space="preserve">P12/4</x:t>
  </x:si>
  <x:si>
    <x:t xml:space="preserve">P12.05, P12.06</x:t>
  </x:si>
  <x:si>
    <x:t xml:space="preserve">Avisos de eventos conectados y comprobados.</x:t>
  </x:si>
  <x:si>
    <x:t xml:space="preserve">P13/1</x:t>
  </x:si>
  <x:si>
    <x:t xml:space="preserve">P13.01, P13.02, P13.04</x:t>
  </x:si>
  <x:si>
    <x:t xml:space="preserve">Consulta del historial propio con permisos.</x:t>
  </x:si>
  <x:si>
    <x:t xml:space="preserve">P13/2</x:t>
  </x:si>
  <x:si>
    <x:t xml:space="preserve">P13.03, P13.05</x:t>
  </x:si>
  <x:si>
    <x:t xml:space="preserve">Historial del perfil conectado y comprobado.</x:t>
  </x:si>
  <x:si>
    <x:t xml:space="preserve">P14/1</x:t>
  </x:si>
  <x:si>
    <x:t xml:space="preserve">P14.01</x:t>
  </x:si>
  <x:si>
    <x:t xml:space="preserve">Navegación final integrada.</x:t>
  </x:si>
  <x:si>
    <x:t xml:space="preserve">P14/2</x:t>
  </x:si>
  <x:si>
    <x:t xml:space="preserve">P14.02</x:t>
  </x:si>
  <x:si>
    <x:t xml:space="preserve">Errores coherentes entre módulos.</x:t>
  </x:si>
  <x:si>
    <x:t xml:space="preserve">P14/3</x:t>
  </x:si>
  <x:si>
    <x:t xml:space="preserve">P14.03</x:t>
  </x:si>
  <x:si>
    <x:t xml:space="preserve">Permisos y privacidad revisados globalmente.</x:t>
  </x:si>
  <x:si>
    <x:t xml:space="preserve">P14/4</x:t>
  </x:si>
  <x:si>
    <x:t xml:space="preserve">P14.04</x:t>
  </x:si>
  <x:si>
    <x:t xml:space="preserve">Persistencia global tras reinicio comprobada.</x:t>
  </x:si>
  <x:si>
    <x:t xml:space="preserve">P14/5</x:t>
  </x:si>
  <x:si>
    <x:t xml:space="preserve">P14.05</x:t>
  </x:si>
  <x:si>
    <x:t xml:space="preserve">Responsive y teclado revisados.</x:t>
  </x:si>
  <x:si>
    <x:t xml:space="preserve">P14/6</x:t>
  </x:si>
  <x:si>
    <x:t xml:space="preserve">P14.06</x:t>
  </x:si>
  <x:si>
    <x:t xml:space="preserve">Rendimiento medido contra criterios acordados.</x:t>
  </x:si>
  <x:si>
    <x:t xml:space="preserve">P15/1</x:t>
  </x:si>
  <x:si>
    <x:t xml:space="preserve">P15.01</x:t>
  </x:si>
  <x:si>
    <x:t xml:space="preserve">Regresión completa en verde.</x:t>
  </x:si>
  <x:si>
    <x:t xml:space="preserve">P15/2</x:t>
  </x:si>
  <x:si>
    <x:t xml:space="preserve">P15.02</x:t>
  </x:si>
  <x:si>
    <x:t xml:space="preserve">Aceptación y demostración preparadas.</x:t>
  </x:si>
  <x:si>
    <x:t xml:space="preserve">P15/3</x:t>
  </x:si>
  <x:si>
    <x:t xml:space="preserve">P15.03</x:t>
  </x:si>
  <x:si>
    <x:t xml:space="preserve">Documentación y entrega reproducible cerradas.</x:t>
  </x:si>
</x:sst>
</file>

<file path=xl/styles.xml><?xml version="1.0" encoding="utf-8"?>
<x:styleSheet xmlns:x="http://schemas.openxmlformats.org/spreadsheetml/2006/main">
  <x:numFmts count="2">
    <x:numFmt numFmtId="164" formatCode="0.0"/>
    <x:numFmt numFmtId="200" formatCode="dd/mm/yyyy"/>
  </x:numFmts>
  <x:fonts count="13">
    <x:font>
      <x:sz val="11"/>
      <x:color theme="1"/>
      <x:name val="Aptos Narrow"/>
    </x:font>
    <x:font>
      <x:b/>
      <x:sz val="11"/>
      <x:color theme="1"/>
      <x:name val="Aptos Narrow"/>
    </x:font>
    <x:font>
      <x:b/>
      <x:sz val="12"/>
      <x:color rgb="FF000000"/>
      <x:name val="Aptos Narrow"/>
    </x:font>
    <x:font>
      <x:b/>
      <x:sz val="11"/>
      <x:color rgb="FFFF0000"/>
      <x:name val="Aptos Narrow"/>
    </x:font>
    <x:font>
      <x:b/>
      <x:sz val="11"/>
      <x:color theme="5" tint="0.39998"/>
      <x:name val="Aptos Narrow"/>
    </x:font>
    <x:font>
      <x:b/>
      <x:sz val="11"/>
      <x:color rgb="FF00B050"/>
      <x:name val="Aptos Narrow"/>
    </x:font>
    <x:font>
      <x:b/>
      <x:sz val="11"/>
      <x:color theme="1"/>
      <x:name val="Aptos Narrow"/>
    </x:font>
    <x:font>
      <x:b/>
      <x:sz val="16"/>
      <x:color rgb="FF163D55"/>
      <x:name val="Aptos Narrow"/>
    </x:font>
    <x:font>
      <x:b/>
      <x:sz val="11"/>
      <x:color rgb="FFFFFFFF"/>
      <x:name val="Aptos Narrow"/>
    </x:font>
    <x:font>
      <x:sz val="10"/>
      <x:color theme="1"/>
      <x:name val="Arial"/>
    </x:font>
    <x:font>
      <x:b/>
      <x:sz val="10"/>
      <x:color rgb="FF163D55"/>
      <x:name val="Arial"/>
    </x:font>
    <x:font>
      <x:b/>
      <x:sz val="11"/>
      <x:color rgb="FF163D55"/>
      <x:name val="Aptos Narrow"/>
    </x:font>
    <x:font>
      <x:sz val="10"/>
      <x:color rgb="FF000000"/>
      <x:name val="Arial"/>
    </x:font>
  </x:fonts>
  <x:fills count="14">
    <x:fill>
      <x:patternFill patternType="none"/>
    </x:fill>
    <x:fill>
      <x:patternFill patternType="gray125"/>
    </x:fill>
    <x:fill>
      <x:patternFill patternType="solid">
        <x:fgColor rgb="FFFF7575"/>
      </x:patternFill>
    </x:fill>
    <x:fill>
      <x:patternFill patternType="solid">
        <x:fgColor theme="9" tint="0.39998"/>
      </x:patternFill>
    </x:fill>
    <x:fill>
      <x:patternFill patternType="solid">
        <x:fgColor theme="5" tint="0.39998"/>
      </x:patternFill>
    </x:fill>
    <x:fill>
      <x:patternFill patternType="solid">
        <x:fgColor rgb="FF163D55"/>
      </x:patternFill>
    </x:fill>
    <x:fill>
      <x:patternFill patternType="solid">
        <x:fgColor rgb="FFFFF8DF"/>
      </x:patternFill>
    </x:fill>
    <x:fill>
      <x:patternFill patternType="solid">
        <x:fgColor rgb="FFE7F2F4"/>
      </x:patternFill>
    </x:fill>
    <x:fill>
      <x:patternFill patternType="solid">
        <x:fgColor rgb="FF163D55"/>
      </x:patternFill>
    </x:fill>
    <x:fill>
      <x:patternFill patternType="solid">
        <x:fgColor rgb="FFE7F2F4"/>
      </x:patternFill>
    </x:fill>
    <x:fill>
      <x:patternFill patternType="solid">
        <x:fgColor rgb="FF163D55"/>
      </x:patternFill>
    </x:fill>
    <x:fill>
      <x:patternFill patternType="solid">
        <x:fgColor rgb="FFFFFFFF"/>
      </x:patternFill>
    </x:fill>
    <x:fill>
      <x:patternFill patternType="solid">
        <x:fgColor rgb="FFFFF8DF"/>
      </x:patternFill>
    </x:fill>
    <x:fill>
      <x:patternFill patternType="solid">
        <x:fgColor rgb="FFE7F2F4"/>
      </x:patternFill>
    </x:fill>
  </x:fills>
  <x:borders count="22">
    <x:border/>
    <x:border>
      <x:left style="medium">
        <x:color indexed="64"/>
      </x:left>
      <x:top style="medium">
        <x:color indexed="64"/>
      </x:top>
      <x:bottom style="medium">
        <x:color indexed="64"/>
      </x:bottom>
    </x:border>
    <x:border>
      <x:left style="thin">
        <x:color rgb="FF000000"/>
      </x:left>
      <x:top style="medium">
        <x:color indexed="64"/>
      </x:top>
      <x:bottom style="medium">
        <x:color indexed="64"/>
      </x:bottom>
    </x:border>
    <x:border>
      <x:left style="thin">
        <x:color rgb="FF000000"/>
      </x:left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left style="medium">
        <x:color indexed="64"/>
      </x:left>
      <x:right style="medium">
        <x:color indexed="64"/>
      </x:right>
      <x:top style="medium">
        <x:color indexed="64"/>
      </x:top>
    </x:border>
    <x:border>
      <x:left style="medium">
        <x:color indexed="64"/>
      </x:left>
      <x:right style="medium">
        <x:color indexed="64"/>
      </x:right>
    </x:border>
    <x:border>
      <x:left style="medium">
        <x:color indexed="64"/>
      </x:left>
      <x:right style="medium">
        <x:color indexed="64"/>
      </x:right>
      <x:bottom style="medium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medium">
        <x:color indexed="64"/>
      </x:left>
      <x:right style="thin">
        <x:color indexed="64"/>
      </x:right>
      <x:top style="medium">
        <x:color indexed="64"/>
      </x:top>
    </x:border>
    <x:border>
      <x:left style="thin">
        <x:color indexed="64"/>
      </x:left>
      <x:right style="thin">
        <x:color indexed="64"/>
      </x:right>
      <x:top style="medium">
        <x:color indexed="64"/>
      </x:top>
    </x:border>
    <x:border>
      <x:left style="thin">
        <x:color indexed="64"/>
      </x:left>
      <x:right style="medium">
        <x:color indexed="64"/>
      </x:right>
      <x:top style="medium">
        <x:color indexed="64"/>
      </x:top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medium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thin">
        <x:color indexed="64"/>
      </x:bottom>
    </x:border>
    <x:border>
      <x:left style="medium">
        <x:color indexed="64"/>
      </x:left>
      <x:right style="thin">
        <x:color indexed="64"/>
      </x:right>
      <x:top style="thin">
        <x:color indexed="64"/>
      </x:top>
      <x:bottom style="medium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medium">
        <x:color indexed="64"/>
      </x:bottom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medium">
        <x:color indexed="64"/>
      </x:bottom>
    </x:border>
    <x:border>
      <x:left style="medium">
        <x:color indexed="64"/>
      </x:left>
      <x:right style="thin">
        <x:color indexed="64"/>
      </x:right>
      <x:top style="thin">
        <x:color indexed="64"/>
      </x:top>
    </x:border>
    <x:border>
      <x:left style="thin">
        <x:color indexed="64"/>
      </x:left>
      <x:right style="thin">
        <x:color indexed="64"/>
      </x:right>
      <x:top style="thin">
        <x:color indexed="64"/>
      </x:top>
    </x:border>
    <x:border>
      <x:left style="thin">
        <x:color indexed="64"/>
      </x:left>
      <x:right style="medium">
        <x:color indexed="64"/>
      </x:right>
      <x:top style="thin">
        <x:color indexed="64"/>
      </x:top>
    </x:border>
  </x:borders>
  <x:cellStyleXfs count="1">
    <x:xf numFmtId="0" fontId="0" fillId="0" borderId="0"/>
  </x:cellStyleXfs>
  <x:cellXfs count="103">
    <x:xf numFmtId="0" fontId="0" fillId="0" borderId="0" xfId="0"/>
    <x:xf numFmtId="16" fontId="0" fillId="0" borderId="0" xfId="0" applyNumberFormat="1"/>
    <x:xf numFmtId="0" fontId="0" fillId="2" borderId="0" xfId="0" applyFill="1"/>
    <x:xf numFmtId="0" fontId="0" fillId="3" borderId="0" xfId="0" applyFill="1"/>
    <x:xf numFmtId="0" fontId="2" fillId="0" borderId="1" xfId="0" applyFont="1" applyBorder="1" applyAlignment="1">
      <x:alignment vertical="top"/>
    </x:xf>
    <x:xf numFmtId="0" fontId="2" fillId="0" borderId="2" xfId="0" applyFont="1" applyBorder="1" applyAlignment="1">
      <x:alignment vertical="top" wrapText="1"/>
    </x:xf>
    <x:xf numFmtId="0" fontId="2" fillId="0" borderId="2" xfId="0" applyFont="1" applyBorder="1" applyAlignment="1">
      <x:alignment vertical="top"/>
    </x:xf>
    <x:xf numFmtId="0" fontId="2" fillId="0" borderId="3" xfId="0" applyFont="1" applyBorder="1" applyAlignment="1">
      <x:alignment vertical="top"/>
    </x:xf>
    <x:xf numFmtId="0" fontId="0" fillId="4" borderId="0" xfId="0" applyFill="1"/>
    <x:xf numFmtId="0" fontId="1" fillId="0" borderId="0" xfId="0" applyFont="1"/>
    <x:xf numFmtId="0" fontId="3" fillId="0" borderId="4" xfId="0" applyFont="1" applyBorder="1"/>
    <x:xf numFmtId="0" fontId="3" fillId="0" borderId="5" xfId="0" applyFont="1" applyBorder="1"/>
    <x:xf numFmtId="0" fontId="4" fillId="0" borderId="5" xfId="0" applyFont="1" applyBorder="1"/>
    <x:xf numFmtId="0" fontId="4" fillId="0" borderId="6" xfId="0" applyFont="1" applyBorder="1"/>
    <x:xf numFmtId="0" fontId="5" fillId="0" borderId="5" xfId="0" applyFont="1" applyBorder="1"/>
    <x:xf numFmtId="0" fontId="2" fillId="0" borderId="3" xfId="0" applyFont="1" applyBorder="1" applyAlignment="1">
      <x:alignment horizontal="left" vertical="center" wrapText="1"/>
    </x:xf>
    <x:xf numFmtId="0" fontId="0" fillId="0" borderId="0" xfId="0" applyAlignment="1">
      <x:alignment horizontal="left" vertical="center" wrapText="1"/>
    </x:xf>
    <x:xf numFmtId="0" fontId="7" fillId="0" borderId="0" xfId="0" applyFont="1"/>
    <x:xf numFmtId="0" fontId="9" fillId="0" borderId="0" xfId="0" applyFont="1" applyAlignment="1">
      <x:alignment vertical="top" wrapText="1"/>
    </x:xf>
    <x:xf numFmtId="0" fontId="0" fillId="0" borderId="0" xfId="0" applyAlignment="1">
      <x:alignment vertical="top" wrapText="1"/>
    </x:xf>
    <x:xf numFmtId="0" fontId="11" fillId="0" borderId="0" xfId="0" applyFont="1" applyAlignment="1">
      <x:alignment vertical="top" wrapText="1"/>
    </x:xf>
    <x:xf numFmtId="0" fontId="8" fillId="5" borderId="0" xfId="0" applyFont="1" applyFill="1" applyAlignment="1">
      <x:alignment wrapText="1"/>
    </x:xf>
    <x:xf numFmtId="0" fontId="9" fillId="6" borderId="0" xfId="0" applyFont="1" applyFill="1" applyAlignment="1">
      <x:alignment vertical="top" wrapText="1"/>
    </x:xf>
    <x:xf numFmtId="164" fontId="9" fillId="6" borderId="0" xfId="0" applyNumberFormat="1" applyFont="1" applyFill="1" applyAlignment="1">
      <x:alignment vertical="top" wrapText="1"/>
    </x:xf>
    <x:xf numFmtId="14" fontId="9" fillId="6" borderId="0" xfId="0" applyNumberFormat="1" applyFont="1" applyFill="1" applyAlignment="1">
      <x:alignment vertical="top" wrapText="1"/>
    </x:xf>
    <x:xf numFmtId="0" fontId="10" fillId="7" borderId="0" xfId="0" applyFont="1" applyFill="1" applyAlignment="1">
      <x:alignment vertical="top" wrapText="1"/>
    </x:xf>
    <x:xf numFmtId="164" fontId="10" fillId="7" borderId="0" xfId="0" applyNumberFormat="1" applyFont="1" applyFill="1" applyAlignment="1">
      <x:alignment vertical="top" wrapText="1"/>
    </x:xf>
    <x:xf numFmtId="14" fontId="10" fillId="7" borderId="0" xfId="0" applyNumberFormat="1" applyFont="1" applyFill="1" applyAlignment="1">
      <x:alignment vertical="top" wrapText="1"/>
    </x:xf>
    <x:xf numFmtId="0" fontId="1" fillId="7" borderId="0" xfId="0" applyFont="1" applyFill="1"/>
    <x:xf numFmtId="0" fontId="10" fillId="7" borderId="7" xfId="0" applyFont="1" applyFill="1" applyBorder="1" applyAlignment="1">
      <x:alignment vertical="top" wrapText="1"/>
    </x:xf>
    <x:xf numFmtId="164" fontId="10" fillId="7" borderId="7" xfId="0" applyNumberFormat="1" applyFont="1" applyFill="1" applyBorder="1" applyAlignment="1">
      <x:alignment vertical="top" wrapText="1"/>
    </x:xf>
    <x:xf numFmtId="14" fontId="10" fillId="7" borderId="7" xfId="0" applyNumberFormat="1" applyFont="1" applyFill="1" applyBorder="1" applyAlignment="1">
      <x:alignment vertical="top" wrapText="1"/>
    </x:xf>
    <x:xf numFmtId="0" fontId="10" fillId="7" borderId="8" xfId="0" applyFont="1" applyFill="1" applyBorder="1" applyAlignment="1">
      <x:alignment vertical="top" wrapText="1"/>
    </x:xf>
    <x:xf numFmtId="0" fontId="10" fillId="7" borderId="9" xfId="0" applyFont="1" applyFill="1" applyBorder="1" applyAlignment="1">
      <x:alignment vertical="top" wrapText="1"/>
    </x:xf>
    <x:xf numFmtId="164" fontId="10" fillId="7" borderId="9" xfId="0" applyNumberFormat="1" applyFont="1" applyFill="1" applyBorder="1" applyAlignment="1">
      <x:alignment vertical="top" wrapText="1"/>
    </x:xf>
    <x:xf numFmtId="14" fontId="10" fillId="7" borderId="9" xfId="0" applyNumberFormat="1" applyFont="1" applyFill="1" applyBorder="1" applyAlignment="1">
      <x:alignment vertical="top" wrapText="1"/>
    </x:xf>
    <x:xf numFmtId="0" fontId="10" fillId="7" borderId="10" xfId="0" applyFont="1" applyFill="1" applyBorder="1" applyAlignment="1">
      <x:alignment vertical="top" wrapText="1"/>
    </x:xf>
    <x:xf numFmtId="0" fontId="9" fillId="0" borderId="7" xfId="0" applyFont="1" applyBorder="1" applyAlignment="1">
      <x:alignment horizontal="left" vertical="top" wrapText="1"/>
    </x:xf>
    <x:xf numFmtId="0" fontId="9" fillId="0" borderId="7" xfId="0" applyFont="1" applyBorder="1" applyAlignment="1">
      <x:alignment vertical="top" wrapText="1"/>
    </x:xf>
    <x:xf numFmtId="0" fontId="9" fillId="6" borderId="7" xfId="0" applyFont="1" applyFill="1" applyBorder="1" applyAlignment="1">
      <x:alignment vertical="top" wrapText="1"/>
    </x:xf>
    <x:xf numFmtId="164" fontId="9" fillId="6" borderId="7" xfId="0" applyNumberFormat="1" applyFont="1" applyFill="1" applyBorder="1" applyAlignment="1">
      <x:alignment vertical="top" wrapText="1"/>
    </x:xf>
    <x:xf numFmtId="14" fontId="9" fillId="6" borderId="7" xfId="0" applyNumberFormat="1" applyFont="1" applyFill="1" applyBorder="1" applyAlignment="1">
      <x:alignment vertical="top" wrapText="1"/>
    </x:xf>
    <x:xf numFmtId="0" fontId="9" fillId="0" borderId="11" xfId="0" applyFont="1" applyBorder="1" applyAlignment="1">
      <x:alignment horizontal="left" vertical="top" wrapText="1"/>
    </x:xf>
    <x:xf numFmtId="0" fontId="9" fillId="0" borderId="12" xfId="0" applyFont="1" applyBorder="1" applyAlignment="1">
      <x:alignment horizontal="left" vertical="top" wrapText="1"/>
    </x:xf>
    <x:xf numFmtId="0" fontId="9" fillId="0" borderId="12" xfId="0" applyFont="1" applyBorder="1" applyAlignment="1">
      <x:alignment vertical="top" wrapText="1"/>
    </x:xf>
    <x:xf numFmtId="0" fontId="9" fillId="6" borderId="12" xfId="0" applyFont="1" applyFill="1" applyBorder="1" applyAlignment="1">
      <x:alignment vertical="top" wrapText="1"/>
    </x:xf>
    <x:xf numFmtId="164" fontId="9" fillId="6" borderId="12" xfId="0" applyNumberFormat="1" applyFont="1" applyFill="1" applyBorder="1" applyAlignment="1">
      <x:alignment vertical="top" wrapText="1"/>
    </x:xf>
    <x:xf numFmtId="14" fontId="9" fillId="6" borderId="12" xfId="0" applyNumberFormat="1" applyFont="1" applyFill="1" applyBorder="1" applyAlignment="1">
      <x:alignment vertical="top" wrapText="1"/>
    </x:xf>
    <x:xf numFmtId="0" fontId="9" fillId="0" borderId="13" xfId="0" applyFont="1" applyBorder="1" applyAlignment="1">
      <x:alignment vertical="top" wrapText="1"/>
    </x:xf>
    <x:xf numFmtId="0" fontId="9" fillId="0" borderId="14" xfId="0" applyFont="1" applyBorder="1" applyAlignment="1">
      <x:alignment horizontal="left" vertical="top" wrapText="1"/>
    </x:xf>
    <x:xf numFmtId="0" fontId="9" fillId="0" borderId="15" xfId="0" applyFont="1" applyBorder="1" applyAlignment="1">
      <x:alignment vertical="top" wrapText="1"/>
    </x:xf>
    <x:xf numFmtId="0" fontId="9" fillId="0" borderId="17" xfId="0" applyFont="1" applyBorder="1" applyAlignment="1">
      <x:alignment vertical="top" wrapText="1"/>
    </x:xf>
    <x:xf numFmtId="0" fontId="9" fillId="6" borderId="17" xfId="0" applyFont="1" applyFill="1" applyBorder="1" applyAlignment="1">
      <x:alignment vertical="top" wrapText="1"/>
    </x:xf>
    <x:xf numFmtId="164" fontId="9" fillId="6" borderId="17" xfId="0" applyNumberFormat="1" applyFont="1" applyFill="1" applyBorder="1" applyAlignment="1">
      <x:alignment vertical="top" wrapText="1"/>
    </x:xf>
    <x:xf numFmtId="14" fontId="9" fillId="6" borderId="17" xfId="0" applyNumberFormat="1" applyFont="1" applyFill="1" applyBorder="1" applyAlignment="1">
      <x:alignment vertical="top" wrapText="1"/>
    </x:xf>
    <x:xf numFmtId="0" fontId="9" fillId="0" borderId="18" xfId="0" applyFont="1" applyBorder="1" applyAlignment="1">
      <x:alignment vertical="top" wrapText="1"/>
    </x:xf>
    <x:xf numFmtId="0" fontId="9" fillId="0" borderId="19" xfId="0" applyFont="1" applyBorder="1" applyAlignment="1">
      <x:alignment horizontal="left" vertical="top" wrapText="1"/>
    </x:xf>
    <x:xf numFmtId="0" fontId="9" fillId="0" borderId="20" xfId="0" applyFont="1" applyBorder="1" applyAlignment="1">
      <x:alignment horizontal="left" vertical="top" wrapText="1"/>
    </x:xf>
    <x:xf numFmtId="0" fontId="9" fillId="0" borderId="20" xfId="0" applyFont="1" applyBorder="1" applyAlignment="1">
      <x:alignment vertical="top" wrapText="1"/>
    </x:xf>
    <x:xf numFmtId="0" fontId="9" fillId="6" borderId="20" xfId="0" applyFont="1" applyFill="1" applyBorder="1" applyAlignment="1">
      <x:alignment vertical="top" wrapText="1"/>
    </x:xf>
    <x:xf numFmtId="164" fontId="9" fillId="6" borderId="20" xfId="0" applyNumberFormat="1" applyFont="1" applyFill="1" applyBorder="1" applyAlignment="1">
      <x:alignment vertical="top" wrapText="1"/>
    </x:xf>
    <x:xf numFmtId="14" fontId="9" fillId="6" borderId="20" xfId="0" applyNumberFormat="1" applyFont="1" applyFill="1" applyBorder="1" applyAlignment="1">
      <x:alignment vertical="top" wrapText="1"/>
    </x:xf>
    <x:xf numFmtId="0" fontId="9" fillId="0" borderId="21" xfId="0" applyFont="1" applyBorder="1" applyAlignment="1">
      <x:alignment vertical="top" wrapText="1"/>
    </x:xf>
    <x:xf numFmtId="0" fontId="9" fillId="0" borderId="11" xfId="0" applyFont="1" applyBorder="1" applyAlignment="1">
      <x:alignment vertical="top" wrapText="1"/>
    </x:xf>
    <x:xf numFmtId="0" fontId="9" fillId="0" borderId="14" xfId="0" applyFont="1" applyBorder="1" applyAlignment="1">
      <x:alignment vertical="top" wrapText="1"/>
    </x:xf>
    <x:xf numFmtId="0" fontId="9" fillId="0" borderId="16" xfId="0" applyFont="1" applyBorder="1" applyAlignment="1">
      <x:alignment vertical="top" wrapText="1"/>
    </x:xf>
    <x:xf numFmtId="0" fontId="10" fillId="7" borderId="14" xfId="0" applyFont="1" applyFill="1" applyBorder="1" applyAlignment="1">
      <x:alignment vertical="top" wrapText="1"/>
    </x:xf>
    <x:xf numFmtId="0" fontId="10" fillId="7" borderId="15" xfId="0" applyFont="1" applyFill="1" applyBorder="1" applyAlignment="1">
      <x:alignment vertical="top" wrapText="1"/>
    </x:xf>
    <x:xf numFmtId="0" fontId="8" fillId="5" borderId="0" xfId="0" applyFont="1" applyFill="1" applyAlignment="1">
      <x:alignment horizontal="center" vertical="center" wrapText="1"/>
    </x:xf>
    <x:xf numFmtId="0" fontId="0" fillId="0" borderId="0" xfId="0" applyAlignment="1">
      <x:alignment horizontal="center" vertical="center"/>
    </x:xf>
    <x:xf numFmtId="0" fontId="8" fillId="8" borderId="0" xfId="0" applyFont="1" applyFill="1" applyAlignment="1">
      <x:alignment wrapText="1"/>
    </x:xf>
    <x:xf numFmtId="0" fontId="0" fillId="9" borderId="0" xfId="0" applyFill="1"/>
    <x:xf numFmtId="0" fontId="8" fillId="10" borderId="0" xfId="0" applyFont="1" applyFill="1" applyAlignment="1">
      <x:alignment wrapText="1"/>
    </x:xf>
    <x:xf numFmtId="0" fontId="0" fillId="0" borderId="0" xfId="0" applyAlignment="1">
      <x:alignment wrapText="1"/>
    </x:xf>
    <x:xf numFmtId="0" fontId="0" fillId="0" borderId="0" xfId="0"/>
    <x:xf numFmtId="0" fontId="6" fillId="0" borderId="0" xfId="0" applyFont="1" applyAlignment="1">
      <x:alignment wrapText="1"/>
    </x:xf>
    <x:xf numFmtId="0" fontId="0" fillId="0" borderId="0" xfId="0" applyAlignment="1">
      <x:alignment vertical="top" wrapText="1"/>
    </x:xf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vertical="top" wrapText="1"/>
    </x:xf>
    <x:xf numFmtId="164" fontId="9" fillId="0" borderId="0" xfId="0" applyNumberFormat="1" applyFont="1" applyFill="1" applyBorder="1" applyAlignment="1">
      <x:alignment vertical="top" wrapText="1"/>
    </x:xf>
    <x:xf numFmtId="200" fontId="9" fillId="0" borderId="0" xfId="0" applyNumberFormat="1" applyFont="1" applyFill="1" applyBorder="1" applyAlignment="1">
      <x:alignment vertical="top" wrapText="1"/>
    </x:xf>
    <x:xf numFmtId="0" fontId="9" fillId="11" borderId="0" xfId="0" applyNumberFormat="1" applyFont="1" applyFill="1" applyBorder="1" applyAlignment="1">
      <x:alignment vertical="top" wrapText="1"/>
    </x:xf>
    <x:xf numFmtId="164" fontId="9" fillId="11" borderId="0" xfId="0" applyNumberFormat="1" applyFont="1" applyFill="1" applyBorder="1" applyAlignment="1">
      <x:alignment vertical="top" wrapText="1"/>
    </x:xf>
    <x:xf numFmtId="200" fontId="9" fillId="11" borderId="0" xfId="0" applyNumberFormat="1" applyFont="1" applyFill="1" applyBorder="1" applyAlignment="1">
      <x:alignment vertical="top" wrapText="1"/>
    </x:xf>
    <x:xf numFmtId="0" fontId="12" fillId="11" borderId="0" xfId="0" applyNumberFormat="1" applyFont="1" applyFill="1" applyBorder="1" applyAlignment="1">
      <x:alignment vertical="top" wrapText="1"/>
    </x:xf>
    <x:xf numFmtId="164" fontId="12" fillId="11" borderId="0" xfId="0" applyNumberFormat="1" applyFont="1" applyFill="1" applyBorder="1" applyAlignment="1">
      <x:alignment vertical="top" wrapText="1"/>
    </x:xf>
    <x:xf numFmtId="200" fontId="12" fillId="11" borderId="0" xfId="0" applyNumberFormat="1" applyFont="1" applyFill="1" applyBorder="1" applyAlignment="1">
      <x:alignment vertical="top" wrapText="1"/>
    </x:xf>
    <x:xf numFmtId="0" fontId="12" fillId="12" borderId="0" xfId="0" applyNumberFormat="1" applyFont="1" applyFill="1" applyBorder="1" applyAlignment="1">
      <x:alignment vertical="top" wrapText="1"/>
    </x:xf>
    <x:xf numFmtId="164" fontId="12" fillId="12" borderId="0" xfId="0" applyNumberFormat="1" applyFont="1" applyFill="1" applyBorder="1" applyAlignment="1">
      <x:alignment vertical="top" wrapText="1"/>
    </x:xf>
    <x:xf numFmtId="200" fontId="12" fillId="12" borderId="0" xfId="0" applyNumberFormat="1" applyFont="1" applyFill="1" applyBorder="1" applyAlignment="1">
      <x:alignment vertical="top" wrapText="1"/>
    </x:xf>
    <x:xf numFmtId="0" fontId="9" fillId="13" borderId="0" xfId="0" applyNumberFormat="1" applyFont="1" applyFill="1" applyBorder="1" applyAlignment="1">
      <x:alignment vertical="top" wrapText="1"/>
    </x:xf>
    <x:xf numFmtId="164" fontId="9" fillId="13" borderId="0" xfId="0" applyNumberFormat="1" applyFont="1" applyFill="1" applyBorder="1" applyAlignment="1">
      <x:alignment vertical="top" wrapText="1"/>
    </x:xf>
    <x:xf numFmtId="200" fontId="9" fillId="13" borderId="0" xfId="0" applyNumberFormat="1" applyFont="1" applyFill="1" applyBorder="1" applyAlignment="1">
      <x:alignment vertical="top" wrapText="1"/>
    </x:xf>
    <x:xf numFmtId="0" fontId="10" fillId="13" borderId="0" xfId="0" applyNumberFormat="1" applyFont="1" applyFill="1" applyBorder="1" applyAlignment="1">
      <x:alignment vertical="top" wrapText="1"/>
    </x:xf>
    <x:xf numFmtId="164" fontId="10" fillId="13" borderId="0" xfId="0" applyNumberFormat="1" applyFont="1" applyFill="1" applyBorder="1" applyAlignment="1">
      <x:alignment vertical="top" wrapText="1"/>
    </x:xf>
    <x:xf numFmtId="200" fontId="10" fillId="13" borderId="0" xfId="0" applyNumberFormat="1" applyFont="1" applyFill="1" applyBorder="1" applyAlignment="1">
      <x:alignment vertical="top" wrapText="1"/>
    </x:xf>
    <x:xf numFmtId="0" fontId="9" fillId="12" borderId="0" xfId="0" applyNumberFormat="1" applyFont="1" applyFill="1" applyBorder="1" applyAlignment="1">
      <x:alignment vertical="top" wrapText="1"/>
    </x:xf>
    <x:xf numFmtId="164" fontId="9" fillId="12" borderId="0" xfId="0" applyNumberFormat="1" applyFont="1" applyFill="1" applyBorder="1" applyAlignment="1">
      <x:alignment vertical="top" wrapText="1"/>
    </x:xf>
    <x:xf numFmtId="200" fontId="9" fillId="1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203b961f6d4a42" /><Relationship Type="http://schemas.openxmlformats.org/officeDocument/2006/relationships/theme" Target="/xl/theme/theme1.xml" Id="R973b2160c0b24b00" /><Relationship Type="http://schemas.openxmlformats.org/officeDocument/2006/relationships/sharedStrings" Target="/xl/sharedStrings.xml" Id="Rbd9cce579064462f" /><Relationship Type="http://schemas.openxmlformats.org/officeDocument/2006/relationships/worksheet" Target="/xl/worksheets/sheet1.xml" Id="R6a614b1ab3ee419a" /><Relationship Type="http://schemas.openxmlformats.org/officeDocument/2006/relationships/worksheet" Target="/xl/worksheets/sheet2.xml" Id="R0fa1d1e2190742df" /><Relationship Type="http://schemas.openxmlformats.org/officeDocument/2006/relationships/worksheet" Target="/xl/worksheets/sheet3.xml" Id="R9056b05d26af4215" /><Relationship Type="http://schemas.openxmlformats.org/officeDocument/2006/relationships/worksheet" Target="/xl/worksheets/sheet4.xml" Id="R87cca36708024166" /><Relationship Type="http://schemas.openxmlformats.org/officeDocument/2006/relationships/worksheet" Target="/xl/worksheets/sheet5.xml" Id="R722e11e4758c47ff" /><Relationship Type="http://schemas.openxmlformats.org/officeDocument/2006/relationships/worksheet" Target="/xl/worksheets/sheet6.xml" Id="Ree423ae77fff4549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11.42578125" defaultRowHeight="15"/>
  <x:cols>
    <x:col min="1" max="1" width="10.42578125" customWidth="1"/>
    <x:col min="2" max="2" width="45.42578125" customWidth="1"/>
    <x:col min="3" max="3" width="65.7109375" customWidth="1"/>
    <x:col min="4" max="4" width="18" customWidth="1"/>
    <x:col min="6" max="6" width="18.42578125" customWidth="1"/>
    <x:col min="7" max="7" width="18.7109375" customWidth="1"/>
    <x:col min="9" max="9" width="62" customWidth="1"/>
  </x:cols>
  <x:sheetData>
    <x:row r="1" ht="15.75">
      <x:c r="A1" s="4" t="s">
        <x:v>0</x:v>
      </x:c>
      <x:c r="B1" s="5" t="s">
        <x:v>1</x:v>
      </x:c>
      <x:c r="C1" s="5" t="s">
        <x:v>2</x:v>
      </x:c>
      <x:c r="D1" s="6" t="s">
        <x:v>3</x:v>
      </x:c>
      <x:c r="E1" s="6" t="s">
        <x:v>4</x:v>
      </x:c>
      <x:c r="F1" s="6" t="s">
        <x:v>5</x:v>
      </x:c>
      <x:c r="G1" s="6" t="s">
        <x:v>6</x:v>
      </x:c>
      <x:c r="H1" s="7" t="s">
        <x:v>7</x:v>
      </x:c>
      <x:c r="I1" s="15" t="s">
        <x:v>8</x:v>
      </x:c>
    </x:row>
    <x:row r="2">
      <x:c r="A2" s="10" t="s">
        <x:v>9</x:v>
      </x:c>
      <x:c r="B2" s="9" t="s">
        <x:v>10</x:v>
      </x:c>
      <x:c r="C2" t="s">
        <x:v>11</x:v>
      </x:c>
      <x:c r="D2">
        <x:v>8</x:v>
      </x:c>
      <x:c r="E2" s="2" t="s">
        <x:v>12</x:v>
      </x:c>
      <x:c r="F2" s="3" t="s">
        <x:v>13</x:v>
      </x:c>
      <x:c r="G2" s="1">
        <x:v>46297</x:v>
      </x:c>
      <x:c r="I2" s="16" t="s">
        <x:v>14</x:v>
      </x:c>
    </x:row>
    <x:row r="3">
      <x:c r="A3" s="11" t="s">
        <x:v>15</x:v>
      </x:c>
      <x:c r="B3" s="9" t="s">
        <x:v>16</x:v>
      </x:c>
      <x:c r="C3" t="s">
        <x:v>17</x:v>
      </x:c>
      <x:c r="D3">
        <x:v>5</x:v>
      </x:c>
      <x:c r="E3" s="2" t="s">
        <x:v>12</x:v>
      </x:c>
      <x:c r="F3" s="3" t="s">
        <x:v>13</x:v>
      </x:c>
      <x:c r="G3" s="1">
        <x:v>46297</x:v>
      </x:c>
      <x:c r="I3" s="16" t="s">
        <x:v>18</x:v>
      </x:c>
    </x:row>
    <x:row r="4">
      <x:c r="A4" s="11" t="s">
        <x:v>19</x:v>
      </x:c>
      <x:c r="B4" s="9" t="s">
        <x:v>20</x:v>
      </x:c>
      <x:c r="C4" t="s">
        <x:v>21</x:v>
      </x:c>
      <x:c r="D4">
        <x:v>20</x:v>
      </x:c>
      <x:c r="E4" s="2" t="s">
        <x:v>12</x:v>
      </x:c>
      <x:c r="F4" s="2" t="s">
        <x:v>22</x:v>
      </x:c>
      <x:c r="G4" s="1">
        <x:v>46297</x:v>
      </x:c>
      <x:c r="I4" s="16" t="s">
        <x:v>23</x:v>
      </x:c>
    </x:row>
    <x:row r="5">
      <x:c r="A5" s="12" t="s">
        <x:v>24</x:v>
      </x:c>
      <x:c r="B5" s="9" t="s">
        <x:v>25</x:v>
      </x:c>
      <x:c r="C5" t="s">
        <x:v>26</x:v>
      </x:c>
      <x:c r="D5">
        <x:v>10</x:v>
      </x:c>
      <x:c r="E5" s="8" t="s">
        <x:v>27</x:v>
      </x:c>
      <x:c r="F5" s="2" t="s">
        <x:v>22</x:v>
      </x:c>
      <x:c r="I5" s="16" t="s">
        <x:v>28</x:v>
      </x:c>
    </x:row>
    <x:row r="6">
      <x:c r="A6" s="12" t="s">
        <x:v>29</x:v>
      </x:c>
      <x:c r="B6" s="9" t="s">
        <x:v>30</x:v>
      </x:c>
      <x:c r="C6" t="s">
        <x:v>31</x:v>
      </x:c>
      <x:c r="D6">
        <x:v>8</x:v>
      </x:c>
      <x:c r="E6" s="8" t="s">
        <x:v>27</x:v>
      </x:c>
      <x:c r="F6" s="8" t="s">
        <x:v>32</x:v>
      </x:c>
      <x:c r="I6" s="16" t="s">
        <x:v>33</x:v>
      </x:c>
    </x:row>
    <x:row r="7">
      <x:c r="A7" s="11" t="s">
        <x:v>34</x:v>
      </x:c>
      <x:c r="B7" s="9" t="s">
        <x:v>35</x:v>
      </x:c>
      <x:c r="C7" t="s">
        <x:v>36</x:v>
      </x:c>
      <x:c r="D7">
        <x:v>3</x:v>
      </x:c>
      <x:c r="E7" s="8" t="s">
        <x:v>27</x:v>
      </x:c>
      <x:c r="F7" s="3" t="s">
        <x:v>13</x:v>
      </x:c>
      <x:c r="I7" s="16" t="s">
        <x:v>33</x:v>
      </x:c>
    </x:row>
    <x:row r="8">
      <x:c r="A8" s="11" t="s">
        <x:v>37</x:v>
      </x:c>
      <x:c r="B8" s="9" t="s">
        <x:v>38</x:v>
      </x:c>
      <x:c r="C8" t="s">
        <x:v>39</x:v>
      </x:c>
      <x:c r="D8">
        <x:v>25</x:v>
      </x:c>
      <x:c r="E8" s="2" t="s">
        <x:v>12</x:v>
      </x:c>
      <x:c r="F8" s="2" t="s">
        <x:v>22</x:v>
      </x:c>
      <x:c r="I8" s="16" t="s">
        <x:v>40</x:v>
      </x:c>
    </x:row>
    <x:row r="9">
      <x:c r="A9" s="11" t="s">
        <x:v>41</x:v>
      </x:c>
      <x:c r="B9" s="9" t="s">
        <x:v>42</x:v>
      </x:c>
      <x:c r="C9" t="s">
        <x:v>43</x:v>
      </x:c>
      <x:c r="D9">
        <x:v>13</x:v>
      </x:c>
      <x:c r="E9" s="2" t="s">
        <x:v>12</x:v>
      </x:c>
      <x:c r="F9" s="2" t="s">
        <x:v>22</x:v>
      </x:c>
      <x:c r="I9" s="16" t="s">
        <x:v>44</x:v>
      </x:c>
    </x:row>
    <x:row r="10">
      <x:c r="A10" s="11" t="s">
        <x:v>45</x:v>
      </x:c>
      <x:c r="B10" s="9" t="s">
        <x:v>46</x:v>
      </x:c>
      <x:c r="C10" t="s">
        <x:v>47</x:v>
      </x:c>
      <x:c r="D10">
        <x:v>8</x:v>
      </x:c>
      <x:c r="E10" s="2" t="s">
        <x:v>12</x:v>
      </x:c>
      <x:c r="F10" s="3" t="s">
        <x:v>13</x:v>
      </x:c>
      <x:c r="I10" s="16" t="s">
        <x:v>48</x:v>
      </x:c>
    </x:row>
    <x:row r="11">
      <x:c r="A11" s="11" t="s">
        <x:v>49</x:v>
      </x:c>
      <x:c r="B11" s="9" t="s">
        <x:v>50</x:v>
      </x:c>
      <x:c r="C11" t="s">
        <x:v>51</x:v>
      </x:c>
      <x:c r="D11">
        <x:v>10</x:v>
      </x:c>
      <x:c r="E11" s="2" t="s">
        <x:v>12</x:v>
      </x:c>
      <x:c r="F11" s="3" t="s">
        <x:v>13</x:v>
      </x:c>
      <x:c r="I11" s="16" t="s">
        <x:v>48</x:v>
      </x:c>
    </x:row>
    <x:row r="12">
      <x:c r="A12" s="14" t="s">
        <x:v>52</x:v>
      </x:c>
      <x:c r="B12" s="9" t="s">
        <x:v>53</x:v>
      </x:c>
      <x:c r="C12" t="s">
        <x:v>54</x:v>
      </x:c>
      <x:c r="D12">
        <x:v>25</x:v>
      </x:c>
      <x:c r="E12" s="3" t="s">
        <x:v>55</x:v>
      </x:c>
      <x:c r="F12" s="2" t="s">
        <x:v>22</x:v>
      </x:c>
      <x:c r="I12" s="16" t="s">
        <x:v>56</x:v>
      </x:c>
    </x:row>
    <x:row r="13">
      <x:c r="A13" s="12" t="s">
        <x:v>57</x:v>
      </x:c>
      <x:c r="B13" s="9" t="s">
        <x:v>58</x:v>
      </x:c>
      <x:c r="C13" t="s">
        <x:v>59</x:v>
      </x:c>
      <x:c r="D13">
        <x:v>20</x:v>
      </x:c>
      <x:c r="E13" s="8" t="s">
        <x:v>27</x:v>
      </x:c>
      <x:c r="F13" s="8" t="s">
        <x:v>32</x:v>
      </x:c>
      <x:c r="I13" s="16" t="s">
        <x:v>56</x:v>
      </x:c>
    </x:row>
    <x:row r="14">
      <x:c r="A14" s="12" t="s">
        <x:v>60</x:v>
      </x:c>
      <x:c r="B14" s="9" t="s">
        <x:v>61</x:v>
      </x:c>
      <x:c r="C14" t="s">
        <x:v>62</x:v>
      </x:c>
      <x:c r="D14">
        <x:v>10</x:v>
      </x:c>
      <x:c r="E14" s="8" t="s">
        <x:v>27</x:v>
      </x:c>
      <x:c r="F14" s="3" t="s">
        <x:v>13</x:v>
      </x:c>
      <x:c r="I14" s="16" t="s">
        <x:v>63</x:v>
      </x:c>
    </x:row>
    <x:row r="15">
      <x:c r="A15" s="11" t="s">
        <x:v>64</x:v>
      </x:c>
      <x:c r="B15" s="9" t="s">
        <x:v>65</x:v>
      </x:c>
      <x:c r="C15" t="s">
        <x:v>66</x:v>
      </x:c>
      <x:c r="D15">
        <x:v>8</x:v>
      </x:c>
      <x:c r="E15" s="2" t="s">
        <x:v>12</x:v>
      </x:c>
      <x:c r="F15" s="8" t="s">
        <x:v>32</x:v>
      </x:c>
      <x:c r="I15" s="16" t="s">
        <x:v>67</x:v>
      </x:c>
    </x:row>
    <x:row r="16">
      <x:c r="A16" s="14" t="s">
        <x:v>68</x:v>
      </x:c>
      <x:c r="B16" s="9" t="s">
        <x:v>69</x:v>
      </x:c>
      <x:c r="C16" t="s">
        <x:v>70</x:v>
      </x:c>
      <x:c r="D16">
        <x:v>5</x:v>
      </x:c>
      <x:c r="E16" s="3" t="s">
        <x:v>55</x:v>
      </x:c>
      <x:c r="F16" s="3" t="s">
        <x:v>13</x:v>
      </x:c>
      <x:c r="I16" s="16" t="s">
        <x:v>71</x:v>
      </x:c>
    </x:row>
    <x:row r="17">
      <x:c r="A17" s="14" t="s">
        <x:v>72</x:v>
      </x:c>
      <x:c r="B17" s="9" t="s">
        <x:v>73</x:v>
      </x:c>
      <x:c r="C17" t="s">
        <x:v>74</x:v>
      </x:c>
      <x:c r="D17">
        <x:v>10</x:v>
      </x:c>
      <x:c r="E17" s="3" t="s">
        <x:v>55</x:v>
      </x:c>
      <x:c r="F17" s="8" t="s">
        <x:v>32</x:v>
      </x:c>
      <x:c r="I17" s="16" t="s">
        <x:v>75</x:v>
      </x:c>
    </x:row>
    <x:row r="18">
      <x:c r="A18" s="12" t="s">
        <x:v>76</x:v>
      </x:c>
      <x:c r="B18" s="9" t="s">
        <x:v>77</x:v>
      </x:c>
      <x:c r="C18" t="s">
        <x:v>78</x:v>
      </x:c>
      <x:c r="D18">
        <x:v>6</x:v>
      </x:c>
      <x:c r="E18" s="8" t="s">
        <x:v>27</x:v>
      </x:c>
      <x:c r="F18" s="3" t="s">
        <x:v>13</x:v>
      </x:c>
      <x:c r="I18" s="16" t="s">
        <x:v>79</x:v>
      </x:c>
    </x:row>
    <x:row r="19">
      <x:c r="A19" s="12" t="s">
        <x:v>80</x:v>
      </x:c>
      <x:c r="B19" s="9" t="s">
        <x:v>81</x:v>
      </x:c>
      <x:c r="C19" t="s">
        <x:v>82</x:v>
      </x:c>
      <x:c r="D19">
        <x:v>8</x:v>
      </x:c>
      <x:c r="E19" s="8" t="s">
        <x:v>27</x:v>
      </x:c>
      <x:c r="F19" s="8" t="s">
        <x:v>32</x:v>
      </x:c>
      <x:c r="I19" s="16" t="s">
        <x:v>83</x:v>
      </x:c>
    </x:row>
    <x:row r="20">
      <x:c r="A20" s="11" t="s">
        <x:v>84</x:v>
      </x:c>
      <x:c r="B20" s="9" t="s">
        <x:v>85</x:v>
      </x:c>
      <x:c r="C20" t="s">
        <x:v>86</x:v>
      </x:c>
      <x:c r="D20">
        <x:v>20</x:v>
      </x:c>
      <x:c r="E20" s="2" t="s">
        <x:v>12</x:v>
      </x:c>
      <x:c r="F20" s="8" t="s">
        <x:v>32</x:v>
      </x:c>
      <x:c r="I20" s="16" t="s">
        <x:v>87</x:v>
      </x:c>
    </x:row>
    <x:row r="21">
      <x:c r="A21" s="14" t="s">
        <x:v>88</x:v>
      </x:c>
      <x:c r="B21" s="9" t="s">
        <x:v>89</x:v>
      </x:c>
      <x:c r="C21" t="s">
        <x:v>90</x:v>
      </x:c>
      <x:c r="D21">
        <x:v>8</x:v>
      </x:c>
      <x:c r="E21" s="3" t="s">
        <x:v>55</x:v>
      </x:c>
      <x:c r="F21" s="3" t="s">
        <x:v>13</x:v>
      </x:c>
      <x:c r="I21" s="16" t="s">
        <x:v>91</x:v>
      </x:c>
    </x:row>
    <x:row r="22">
      <x:c r="A22" s="14" t="s">
        <x:v>92</x:v>
      </x:c>
      <x:c r="B22" s="9" t="s">
        <x:v>93</x:v>
      </x:c>
      <x:c r="C22" t="s">
        <x:v>94</x:v>
      </x:c>
      <x:c r="D22">
        <x:v>10</x:v>
      </x:c>
      <x:c r="E22" s="3" t="s">
        <x:v>55</x:v>
      </x:c>
      <x:c r="F22" s="3" t="s">
        <x:v>13</x:v>
      </x:c>
      <x:c r="I22" s="16" t="s">
        <x:v>48</x:v>
      </x:c>
    </x:row>
    <x:row r="23">
      <x:c r="A23" s="12" t="s">
        <x:v>95</x:v>
      </x:c>
      <x:c r="B23" s="9" t="s">
        <x:v>96</x:v>
      </x:c>
      <x:c r="C23" t="s">
        <x:v>97</x:v>
      </x:c>
      <x:c r="D23">
        <x:v>5</x:v>
      </x:c>
      <x:c r="E23" s="8" t="s">
        <x:v>27</x:v>
      </x:c>
      <x:c r="F23" s="3" t="s">
        <x:v>13</x:v>
      </x:c>
      <x:c r="I23" s="16" t="s">
        <x:v>98</x:v>
      </x:c>
    </x:row>
    <x:row r="24">
      <x:c r="A24" s="14" t="s">
        <x:v>99</x:v>
      </x:c>
      <x:c r="B24" s="9" t="s">
        <x:v>100</x:v>
      </x:c>
      <x:c r="C24" t="s">
        <x:v>101</x:v>
      </x:c>
      <x:c r="D24">
        <x:v>8</x:v>
      </x:c>
      <x:c r="E24" s="3" t="s">
        <x:v>55</x:v>
      </x:c>
      <x:c r="F24" s="3" t="s">
        <x:v>13</x:v>
      </x:c>
      <x:c r="I24" s="16" t="s">
        <x:v>98</x:v>
      </x:c>
    </x:row>
    <x:row r="25">
      <x:c r="A25" s="12" t="s">
        <x:v>102</x:v>
      </x:c>
      <x:c r="B25" s="9" t="s">
        <x:v>103</x:v>
      </x:c>
      <x:c r="C25" t="s">
        <x:v>104</x:v>
      </x:c>
      <x:c r="D25">
        <x:v>8</x:v>
      </x:c>
      <x:c r="E25" s="8" t="s">
        <x:v>27</x:v>
      </x:c>
      <x:c r="F25" s="3" t="s">
        <x:v>13</x:v>
      </x:c>
      <x:c r="I25" s="16" t="s">
        <x:v>105</x:v>
      </x:c>
    </x:row>
    <x:row r="26">
      <x:c r="A26" s="14" t="s">
        <x:v>106</x:v>
      </x:c>
      <x:c r="B26" s="9" t="s">
        <x:v>107</x:v>
      </x:c>
      <x:c r="C26" t="s">
        <x:v>108</x:v>
      </x:c>
      <x:c r="D26">
        <x:v>5</x:v>
      </x:c>
      <x:c r="E26" s="3" t="s">
        <x:v>55</x:v>
      </x:c>
      <x:c r="F26" s="8" t="s">
        <x:v>32</x:v>
      </x:c>
      <x:c r="I26" s="16" t="s">
        <x:v>109</x:v>
      </x:c>
    </x:row>
    <x:row r="27">
      <x:c r="A27" s="13" t="s">
        <x:v>110</x:v>
      </x:c>
      <x:c r="B27" s="9" t="s">
        <x:v>111</x:v>
      </x:c>
      <x:c r="C27" t="s">
        <x:v>112</x:v>
      </x:c>
      <x:c r="D27">
        <x:v>8</x:v>
      </x:c>
      <x:c r="E27" s="8" t="s">
        <x:v>27</x:v>
      </x:c>
      <x:c r="F27" s="8" t="s">
        <x:v>32</x:v>
      </x:c>
      <x:c r="I27" s="16" t="s">
        <x:v>113</x:v>
      </x:c>
    </x:row>
    <x:row r="29" ht="30" customHeight="1">
      <x:c r="A29" s="75" t="s">
        <x:v>114</x:v>
      </x:c>
      <x:c r="B29" s="74"/>
      <x:c r="C29" s="74"/>
      <x:c r="D29" s="74"/>
      <x:c r="E29" s="74"/>
      <x:c r="F29" s="74"/>
      <x:c r="G29" s="74"/>
      <x:c r="H29" s="74"/>
    </x:row>
    <x:row r="30" ht="30" customHeight="1">
      <x:c r="A30" s="73" t="s">
        <x:v>115</x:v>
      </x:c>
      <x:c r="B30" s="74"/>
      <x:c r="C30" s="74"/>
      <x:c r="D30" s="74"/>
      <x:c r="E30" s="74"/>
      <x:c r="F30" s="74"/>
      <x:c r="G30" s="74"/>
      <x:c r="H30" s="74"/>
    </x:row>
    <x:row r="31" ht="30" customHeight="1">
      <x:c r="A31" s="73" t="s">
        <x:v>116</x:v>
      </x:c>
      <x:c r="B31" s="74"/>
      <x:c r="C31" s="74"/>
      <x:c r="D31" s="74"/>
      <x:c r="E31" s="74"/>
      <x:c r="F31" s="74"/>
      <x:c r="G31" s="74"/>
      <x:c r="H31" s="74"/>
    </x:row>
    <x:row r="32" ht="30" customHeight="1">
      <x:c r="A32" s="73" t="s">
        <x:v>117</x:v>
      </x:c>
      <x:c r="B32" s="74"/>
      <x:c r="C32" s="74"/>
      <x:c r="D32" s="74"/>
      <x:c r="E32" s="74"/>
      <x:c r="F32" s="74"/>
      <x:c r="G32" s="74"/>
      <x:c r="H32" s="74"/>
    </x:row>
    <x:row r="33" ht="30" customHeight="1">
      <x:c r="A33" s="73" t="s">
        <x:v>118</x:v>
      </x:c>
      <x:c r="B33" s="74"/>
      <x:c r="C33" s="74"/>
      <x:c r="D33" s="74"/>
      <x:c r="E33" s="74"/>
      <x:c r="F33" s="74"/>
      <x:c r="G33" s="74"/>
      <x:c r="H33" s="74"/>
    </x:row>
    <x:row r="34" ht="30" customHeight="1">
      <x:c r="A34" s="73" t="s">
        <x:v>119</x:v>
      </x:c>
      <x:c r="B34" s="74"/>
      <x:c r="C34" s="74"/>
      <x:c r="D34" s="74"/>
      <x:c r="E34" s="74"/>
      <x:c r="F34" s="74"/>
      <x:c r="G34" s="74"/>
      <x:c r="H34" s="74"/>
    </x:row>
    <x:row r="35" ht="33.95000076293945" customHeight="1">
      <x:c r="A35" s="73" t="s">
        <x:v>120</x:v>
      </x:c>
      <x:c r="B35" s="74"/>
      <x:c r="C35" s="74"/>
      <x:c r="D35" s="74"/>
      <x:c r="E35" s="74"/>
      <x:c r="F35" s="74"/>
      <x:c r="G35" s="74"/>
      <x:c r="H35" s="74"/>
      <x:c r="I35" s="74"/>
    </x:row>
  </x:sheetData>
  <x:mergeCells>
    <x:mergeCell ref="A34:H34"/>
    <x:mergeCell ref="A35:I35"/>
    <x:mergeCell ref="A29:H29"/>
    <x:mergeCell ref="A30:H30"/>
    <x:mergeCell ref="A31:H31"/>
    <x:mergeCell ref="A32:H32"/>
    <x:mergeCell ref="A33:H33"/>
  </x:mergeCells>
  <x:pageMargins left="0.7" right="0.7" top="0.75" bottom="0.75" header="0.3" footer="0.3"/>
</x:worksheet>
</file>

<file path=xl/worksheets/sheet2.xml><?xml version="1.0" encoding="utf-8"?>
<ns0:worksheet xmlns:ns0="http://schemas.openxmlformats.org/spreadsheetml/2006/main">
  <ns0:sheetPr>
    <ns0:tabColor rgb="FF087F8C"/>
  </ns0:sheetPr>
  <ns0:sheetViews>
    <ns0:sheetView showGridLines="0" workbookViewId="0">
      <ns0:pane ySplit="6" topLeftCell="A7" activePane="bottomLeft" state="frozen"/>
    </ns0:sheetView>
  </ns0:sheetViews>
  <ns0:sheetFormatPr baseColWidth="10" defaultColWidth="9.140625" defaultRowHeight="15"/>
  <ns0:cols>
    <ns0:col min="1" max="1" width="12" customWidth="1"/>
    <ns0:col min="2" max="2" width="7" customWidth="1"/>
    <ns0:col min="3" max="3" width="51.28515625" customWidth="1"/>
    <ns0:col min="4" max="4" width="29" customWidth="1"/>
    <ns0:col min="5" max="5" width="32" customWidth="1"/>
    <ns0:col min="6" max="6" width="14.7109375" customWidth="1"/>
    <ns0:col min="7" max="7" width="16" customWidth="1"/>
    <ns0:col min="8" max="8" width="15" customWidth="1"/>
    <ns0:col min="9" max="11" width="13" customWidth="1"/>
    <ns0:col min="12" max="16" width="15" customWidth="1"/>
    <ns0:col min="17" max="18" width="14" customWidth="1"/>
    <ns0:col min="19" max="19" width="54" customWidth="1"/>
    <ns0:col min="20" max="21" width="65" customWidth="1"/>
    <ns0:col min="22" max="22" width="30" customWidth="1"/>
    <ns0:col min="23" max="23" width="65" customWidth="1"/>
    <ns0:col min="24" max="24" width="28.42578125" customWidth="1"/>
    <ns0:col min="25" max="25" width="60" customWidth="1"/>
    <ns0:col min="26" max="26" width="25" customWidth="1"/>
  </ns0:cols>
  <ns0:sheetData>
    <ns0:row r="1" ht="21">
      <ns0:c r="A1" s="17" t="s">
        <ns0:v>121</ns0:v>
      </ns0:c>
    </ns0:row>
    <ns0:row r="2">
      <ns0:c r="A2" t="s">
        <ns0:v>122</ns0:v>
      </ns0:c>
    </ns0:row>
    <ns0:row r="3">
      <ns0:c r="A3" t="s">
        <ns0:v>123</ns0:v>
      </ns0:c>
    </ns0:row>
    <ns0:row r="4">
      <ns0:c r="A4" t="s">
        <ns0:v>124</ns0:v>
      </ns0:c>
    </ns0:row>
    <ns0:row r="6" s="69" customFormat="1" ht="42" customHeight="1">
      <ns0:c r="A6" s="68" t="s">
        <ns0:v>125</ns0:v>
      </ns0:c>
      <ns0:c r="B6" s="68" t="s">
        <ns0:v>126</ns0:v>
      </ns0:c>
      <ns0:c r="C6" s="68" t="s">
        <ns0:v>127</ns0:v>
      </ns0:c>
      <ns0:c r="D6" s="68" t="s">
        <ns0:v>128</ns0:v>
      </ns0:c>
      <ns0:c r="E6" s="68" t="s">
        <ns0:v>129</ns0:v>
      </ns0:c>
      <ns0:c r="F6" s="68" t="s">
        <ns0:v>130</ns0:v>
      </ns0:c>
      <ns0:c r="G6" s="68" t="s">
        <ns0:v>131</ns0:v>
      </ns0:c>
      <ns0:c r="H6" s="68" t="s">
        <ns0:v>132</ns0:v>
      </ns0:c>
      <ns0:c r="I6" s="68" t="s">
        <ns0:v>133</ns0:v>
      </ns0:c>
      <ns0:c r="J6" s="68" t="s">
        <ns0:v>134</ns0:v>
      </ns0:c>
      <ns0:c r="K6" s="68" t="s">
        <ns0:v>135</ns0:v>
      </ns0:c>
      <ns0:c r="L6" s="68" t="s">
        <ns0:v>136</ns0:v>
      </ns0:c>
      <ns0:c r="M6" s="68" t="s">
        <ns0:v>137</ns0:v>
      </ns0:c>
      <ns0:c r="N6" s="68" t="s">
        <ns0:v>138</ns0:v>
      </ns0:c>
      <ns0:c r="O6" s="68" t="s">
        <ns0:v>139</ns0:v>
      </ns0:c>
      <ns0:c r="P6" s="68" t="s">
        <ns0:v>140</ns0:v>
      </ns0:c>
      <ns0:c r="Q6" s="68" t="s">
        <ns0:v>141</ns0:v>
      </ns0:c>
      <ns0:c r="R6" s="68" t="s">
        <ns0:v>142</ns0:v>
      </ns0:c>
      <ns0:c r="S6" s="68" t="s">
        <ns0:v>143</ns0:v>
      </ns0:c>
      <ns0:c r="T6" s="68" t="s">
        <ns0:v>144</ns0:v>
      </ns0:c>
      <ns0:c r="U6" s="68" t="s">
        <ns0:v>145</ns0:v>
      </ns0:c>
      <ns0:c r="V6" s="68" t="s">
        <ns0:v>146</ns0:v>
      </ns0:c>
      <ns0:c r="W6" s="70" t="s">
        <ns0:v>147</ns0:v>
      </ns0:c>
      <ns0:c r="X6" s="72" t="s">
        <ns0:v>148</ns0:v>
      </ns0:c>
      <ns0:c r="Y6" s="72" t="s">
        <ns0:v>149</ns0:v>
      </ns0:c>
      <ns0:c r="Z6" s="72" t="s">
        <ns0:v>150</ns0:v>
      </ns0:c>
    </ns0:row>
    <ns0:row r="7" ht="30" customHeight="1">
      <ns0:c r="A7" s="94" t="str">
        <ns0:v>P01</ns0:v>
      </ns0:c>
      <ns0:c r="B7" s="94" t="n">
        <ns0:v>1</ns0:v>
      </ns0:c>
      <ns0:c r="C7" s="94" t="str">
        <ns0:v>Preparación, criterios y automatización de entornos</ns0:v>
      </ns0:c>
      <ns0:c r="D7" s="94"/>
      <ns0:c r="E7" s="94"/>
      <ns0:c r="F7" s="94"/>
      <ns0:c r="G7" s="94"/>
      <ns0:c r="H7" s="94"/>
      <ns0:c r="I7" s="95" t="n">
        <ns0:f>SUM(I8:I19)</ns0:f>
        <ns0:v>48.5</ns0:v>
      </ns0:c>
      <ns0:c r="J7" s="95" t="n">
        <ns0:f>SUM(J8:J19)</ns0:f>
        <ns0:v>44</ns0:v>
      </ns0:c>
      <ns0:c r="K7" s="95" t="n">
        <ns0:f>IF(COUNT(K8:K19)=0,"",SUM(K8:K19))</ns0:f>
        <ns0:v>5</ns0:v>
      </ns0:c>
      <ns0:c r="L7" s="96" t="str">
        <ns0:f>IF(COUNT(L8:L19)=12,MIN(L8:L19),"")</ns0:f>
      </ns0:c>
      <ns0:c r="M7" s="96" t="str">
        <ns0:f>IF(COUNT(M8:M19)=12,MIN(M8:M19),"")</ns0:f>
      </ns0:c>
      <ns0:c r="N7" s="96" t="str">
        <ns0:f>IF(COUNT(N8:N19)=12,MAX(N8:N19),"")</ns0:f>
      </ns0:c>
      <ns0:c r="O7" s="96" t="str">
        <ns0:f>IF(COUNT(O8:O19)=12,MAX(O8:O19),"")</ns0:f>
      </ns0:c>
      <ns0:c r="S7" s="94"/>
      <ns0:c r="T7" s="94"/>
      <ns0:c r="U7" s="94"/>
      <ns0:c r="W7" s="94"/>
      <ns0:c r="X7" s="94"/>
      <ns0:c r="Y7" s="94"/>
      <ns0:c r="Z7" s="94"/>
    </ns0:row>
    <ns0:row r="8" ht="100" customHeight="1">
      <ns0:c r="A8" s="79" t="str">
        <ns0:v>P01.01</ns0:v>
      </ns0:c>
      <ns0:c r="B8" s="79" t="n">
        <ns0:v>2</ns0:v>
      </ns0:c>
      <ns0:c r="C8" s="79" t="str">
        <ns0:v>Preparación: Preparar entorno de trabajo</ns0:v>
      </ns0:c>
      <ns0:c r="D8" s="79" t="str">
        <ns0:v>RF3</ns0:v>
      </ns0:c>
      <ns0:c r="E8" s="79"/>
      <ns0:c r="F8" s="79" t="n">
        <ns0:v>1</ns0:v>
      </ns0:c>
      <ns0:c r="G8" s="79" t="str">
        <ns0:v>Reportada</ns0:v>
      </ns0:c>
      <ns0:c r="H8" s="97" t="str">
        <ns0:v>Jesús</ns0:v>
      </ns0:c>
      <ns0:c r="I8" s="98" t="n">
        <ns0:v>1</ns0:v>
      </ns0:c>
      <ns0:c r="J8" s="98" t="n">
        <ns0:v>0</ns0:v>
      </ns0:c>
      <ns0:c r="K8" s="98" t="n">
        <ns0:v>1</ns0:v>
      </ns0:c>
      <ns0:c r="L8" s="99"/>
      <ns0:c r="M8" s="99"/>
      <ns0:c r="N8" s="99"/>
      <ns0:c r="O8" s="99"/>
      <ns0:c r="P8" s="79" t="n">
        <ns0:f t="shared" ref="P8:P13" si="0">IF(K8="","",K8-I8)</ns0:f>
        <ns0:v>0</ns0:v>
      </ns0:c>
      <ns0:c r="Q8" s="79" t="str">
        <ns0:f t="shared" ref="Q8:Q13" si="1">IF(OR(L8="",M8=""),"",M8-L8)</ns0:f>
      </ns0:c>
      <ns0:c r="R8" s="79" t="str">
        <ns0:f t="shared" ref="R8:R13" si="2">IF(OR(N8="",O8=""),"",O8-N8)</ns0:f>
      </ns0:c>
      <ns0:c r="S8" s="79" t="str">
        <ns0:v>Trabajo existente: no se afirma un ciclo rojo histórico. Conservar/regresar las pruebas disponibles.</ns0:v>
      </ns0:c>
      <ns0:c r="T8" s="79" t="str">
        <ns0:v>Comprobación local del entorno.</ns0:v>
      </ns0:c>
      <ns0:c r="U8" s="79" t="str">
        <ns0:v>No hay evidencia versionada de instalación individual ni commit de finalización. Mantener 1 h reportada por tarea y fechas reales vacías. Revisar Evidencias Git, fila 7.</ns0:v>
      </ns0:c>
      <ns0:c r="V8" s="79" t="str">
        <ns0:f t="shared" ref="V8:V13" si="3">IF(OR(G8="Implementada",G8="Reportada"),IF(OR(K8="",M8="",O8=""),"Faltan datos reales","Completo"),IF(G8="Parcial",IF(OR(K8="",M8=""),"Faltan horas/inicio","En curso"),"Pendiente"))</ns0:f>
        <ns0:v>Faltan datos reales</ns0:v>
      </ns0:c>
      <ns0:c r="W8" s="79" t="str">
        <ns0:v>Herramientas locales preparadas (agrupación retrospectiva).</ns0:v>
      </ns0:c>
      <ns0:c r="X8" s="79" t="str">
        <ns0:v>7f237b1, 6696d7c, 0ced1ae</ns0:v>
      </ns0:c>
      <ns0:c r="Y8" s="79" t="str">
        <ns0:v>Declarada localmente; Git acredita preparación documental</ns0:v>
      </ns0:c>
      <ns0:c r="Z8" s="79" t="str">
        <ns0:v>Evidencias Git, fila 7</ns0:v>
      </ns0:c>
    </ns0:row>
    <ns0:row r="9" ht="100" customHeight="1">
      <ns0:c r="A9" s="79" t="str">
        <ns0:v>P01.02</ns0:v>
      </ns0:c>
      <ns0:c r="B9" s="79" t="n">
        <ns0:v>2</ns0:v>
      </ns0:c>
      <ns0:c r="C9" s="79" t="str">
        <ns0:v>Preparación: Instalar Node.js</ns0:v>
      </ns0:c>
      <ns0:c r="D9" s="79" t="str">
        <ns0:v>RF3</ns0:v>
      </ns0:c>
      <ns0:c r="E9" s="79" t="str">
        <ns0:v>P01.01</ns0:v>
      </ns0:c>
      <ns0:c r="F9" s="79" t="n">
        <ns0:v>1</ns0:v>
      </ns0:c>
      <ns0:c r="G9" s="79" t="str">
        <ns0:v>Reportada</ns0:v>
      </ns0:c>
      <ns0:c r="H9" s="97" t="str">
        <ns0:v>Jesús</ns0:v>
      </ns0:c>
      <ns0:c r="I9" s="98" t="n">
        <ns0:v>1</ns0:v>
      </ns0:c>
      <ns0:c r="J9" s="98" t="n">
        <ns0:v>0</ns0:v>
      </ns0:c>
      <ns0:c r="K9" s="98" t="n">
        <ns0:v>1</ns0:v>
      </ns0:c>
      <ns0:c r="L9" s="99"/>
      <ns0:c r="M9" s="99"/>
      <ns0:c r="N9" s="99"/>
      <ns0:c r="O9" s="99"/>
      <ns0:c r="P9" s="79" t="n">
        <ns0:f t="shared" si="0">IF(K9="","",K9-I9)</ns0:f>
        <ns0:v>0</ns0:v>
      </ns0:c>
      <ns0:c r="Q9" s="79" t="str">
        <ns0:f t="shared" si="1">IF(OR(L9="",M9=""),"",M9-L9)</ns0:f>
      </ns0:c>
      <ns0:c r="R9" s="79" t="str">
        <ns0:f t="shared" si="2">IF(OR(N9="",O9=""),"",O9-N9)</ns0:f>
      </ns0:c>
      <ns0:c r="S9" s="79" t="str">
        <ns0:v>Trabajo existente: no se afirma un ciclo rojo histórico. Conservar/regresar las pruebas disponibles.</ns0:v>
      </ns0:c>
      <ns0:c r="T9" s="79" t="str">
        <ns0:v>Node y npm responden con las versiones del proyecto.</ns0:v>
      </ns0:c>
      <ns0:c r="U9" s="79" t="str">
        <ns0:v>No hay evidencia versionada de instalación individual ni commit de finalización. Mantener 1 h reportada por tarea y fechas reales vacías. Revisar Evidencias Git, fila 7.</ns0:v>
      </ns0:c>
      <ns0:c r="V9" s="79" t="str">
        <ns0:f t="shared" si="3">IF(OR(G9="Implementada",G9="Reportada"),IF(OR(K9="",M9="",O9=""),"Faltan datos reales","Completo"),IF(G9="Parcial",IF(OR(K9="",M9=""),"Faltan horas/inicio","En curso"),"Pendiente"))</ns0:f>
        <ns0:v>Faltan datos reales</ns0:v>
      </ns0:c>
      <ns0:c r="W9" s="79" t="str">
        <ns0:v>Herramientas locales preparadas (agrupación retrospectiva).</ns0:v>
      </ns0:c>
      <ns0:c r="X9" s="79" t="str">
        <ns0:v>7f237b1, 6696d7c, 0ced1ae</ns0:v>
      </ns0:c>
      <ns0:c r="Y9" s="79" t="str">
        <ns0:v>Declarada localmente; Git acredita preparación documental</ns0:v>
      </ns0:c>
      <ns0:c r="Z9" s="79" t="str">
        <ns0:v>Evidencias Git, fila 7</ns0:v>
      </ns0:c>
    </ns0:row>
    <ns0:row r="10" ht="100" customHeight="1">
      <ns0:c r="A10" s="79" t="str">
        <ns0:v>P01.03</ns0:v>
      </ns0:c>
      <ns0:c r="B10" s="79" t="n">
        <ns0:v>2</ns0:v>
      </ns0:c>
      <ns0:c r="C10" s="79" t="str">
        <ns0:v>Preparación: Instalar Git</ns0:v>
      </ns0:c>
      <ns0:c r="D10" s="79" t="str">
        <ns0:v>RF3</ns0:v>
      </ns0:c>
      <ns0:c r="E10" s="79"/>
      <ns0:c r="F10" s="79" t="n">
        <ns0:v>1</ns0:v>
      </ns0:c>
      <ns0:c r="G10" s="79" t="str">
        <ns0:v>Reportada</ns0:v>
      </ns0:c>
      <ns0:c r="H10" s="97" t="str">
        <ns0:v>Jesús</ns0:v>
      </ns0:c>
      <ns0:c r="I10" s="98" t="n">
        <ns0:v>0.5</ns0:v>
      </ns0:c>
      <ns0:c r="J10" s="98" t="n">
        <ns0:v>0</ns0:v>
      </ns0:c>
      <ns0:c r="K10" s="98" t="n">
        <ns0:v>1</ns0:v>
      </ns0:c>
      <ns0:c r="L10" s="99"/>
      <ns0:c r="M10" s="99"/>
      <ns0:c r="N10" s="99"/>
      <ns0:c r="O10" s="99"/>
      <ns0:c r="P10" s="79" t="n">
        <ns0:f t="shared" si="0">IF(K10="","",K10-I10)</ns0:f>
        <ns0:v>0.5</ns0:v>
      </ns0:c>
      <ns0:c r="Q10" s="79" t="str">
        <ns0:f t="shared" si="1">IF(OR(L10="",M10=""),"",M10-L10)</ns0:f>
      </ns0:c>
      <ns0:c r="R10" s="79" t="str">
        <ns0:f t="shared" si="2">IF(OR(N10="",O10=""),"",O10-N10)</ns0:f>
      </ns0:c>
      <ns0:c r="S10" s="79" t="str">
        <ns0:v>Trabajo existente: no se afirma un ciclo rojo histórico. Conservar/regresar las pruebas disponibles.</ns0:v>
      </ns0:c>
      <ns0:c r="T10" s="79" t="str">
        <ns0:v>Git disponible y repositorio accesible.</ns0:v>
      </ns0:c>
      <ns0:c r="U10" s="79" t="str">
        <ns0:v>No hay evidencia versionada de instalación individual ni commit de finalización. Mantener 1 h reportada por tarea y fechas reales vacías. Revisar Evidencias Git, fila 7.</ns0:v>
      </ns0:c>
      <ns0:c r="V10" s="79" t="str">
        <ns0:f t="shared" si="3">IF(OR(G10="Implementada",G10="Reportada"),IF(OR(K10="",M10="",O10=""),"Faltan datos reales","Completo"),IF(G10="Parcial",IF(OR(K10="",M10=""),"Faltan horas/inicio","En curso"),"Pendiente"))</ns0:f>
        <ns0:v>Faltan datos reales</ns0:v>
      </ns0:c>
      <ns0:c r="W10" s="79" t="str">
        <ns0:v>Herramientas locales preparadas (agrupación retrospectiva).</ns0:v>
      </ns0:c>
      <ns0:c r="X10" s="79" t="str">
        <ns0:v>7f237b1, 6696d7c, 0ced1ae</ns0:v>
      </ns0:c>
      <ns0:c r="Y10" s="79" t="str">
        <ns0:v>Declarada localmente; Git acredita preparación documental</ns0:v>
      </ns0:c>
      <ns0:c r="Z10" s="79" t="str">
        <ns0:v>Evidencias Git, fila 7</ns0:v>
      </ns0:c>
    </ns0:row>
    <ns0:row r="11" ht="100" customHeight="1">
      <ns0:c r="A11" s="79" t="str">
        <ns0:v>P01.04</ns0:v>
      </ns0:c>
      <ns0:c r="B11" s="79" t="n">
        <ns0:v>2</ns0:v>
      </ns0:c>
      <ns0:c r="C11" s="79" t="str">
        <ns0:v>Preparación: Configurar VS Code</ns0:v>
      </ns0:c>
      <ns0:c r="D11" s="79" t="str">
        <ns0:v>RF3</ns0:v>
      </ns0:c>
      <ns0:c r="E11" s="79" t="str">
        <ns0:v>P01.02, P01.03</ns0:v>
      </ns0:c>
      <ns0:c r="F11" s="79" t="n">
        <ns0:v>1</ns0:v>
      </ns0:c>
      <ns0:c r="G11" s="79" t="str">
        <ns0:v>Reportada</ns0:v>
      </ns0:c>
      <ns0:c r="H11" s="97" t="str">
        <ns0:v>Jesús</ns0:v>
      </ns0:c>
      <ns0:c r="I11" s="98" t="n">
        <ns0:v>1</ns0:v>
      </ns0:c>
      <ns0:c r="J11" s="98" t="n">
        <ns0:v>0</ns0:v>
      </ns0:c>
      <ns0:c r="K11" s="98" t="n">
        <ns0:v>1</ns0:v>
      </ns0:c>
      <ns0:c r="L11" s="99"/>
      <ns0:c r="M11" s="99"/>
      <ns0:c r="N11" s="99"/>
      <ns0:c r="O11" s="99"/>
      <ns0:c r="P11" s="79" t="n">
        <ns0:f t="shared" si="0">IF(K11="","",K11-I11)</ns0:f>
        <ns0:v>0</ns0:v>
      </ns0:c>
      <ns0:c r="Q11" s="79" t="str">
        <ns0:f t="shared" si="1">IF(OR(L11="",M11=""),"",M11-L11)</ns0:f>
      </ns0:c>
      <ns0:c r="R11" s="79" t="str">
        <ns0:f t="shared" si="2">IF(OR(N11="",O11=""),"",O11-N11)</ns0:f>
      </ns0:c>
      <ns0:c r="S11" s="79" t="str">
        <ns0:v>Trabajo existente: no se afirma un ciclo rojo histórico. Conservar/regresar las pruebas disponibles.</ns0:v>
      </ns0:c>
      <ns0:c r="T11" s="79" t="str">
        <ns0:v>Editor y terminal operativos.</ns0:v>
      </ns0:c>
      <ns0:c r="U11" s="79" t="str">
        <ns0:v>No hay evidencia versionada de instalación individual ni commit de finalización. Mantener 1 h reportada por tarea y fechas reales vacías. Revisar Evidencias Git, fila 7.</ns0:v>
      </ns0:c>
      <ns0:c r="V11" s="79" t="str">
        <ns0:f t="shared" si="3">IF(OR(G11="Implementada",G11="Reportada"),IF(OR(K11="",M11="",O11=""),"Faltan datos reales","Completo"),IF(G11="Parcial",IF(OR(K11="",M11=""),"Faltan horas/inicio","En curso"),"Pendiente"))</ns0:f>
        <ns0:v>Faltan datos reales</ns0:v>
      </ns0:c>
      <ns0:c r="W11" s="79" t="str">
        <ns0:v>Herramientas locales preparadas (agrupación retrospectiva).</ns0:v>
      </ns0:c>
      <ns0:c r="X11" s="79" t="str">
        <ns0:v>7f237b1, 6696d7c, 0ced1ae</ns0:v>
      </ns0:c>
      <ns0:c r="Y11" s="79" t="str">
        <ns0:v>Declarada localmente; Git acredita preparación documental</ns0:v>
      </ns0:c>
      <ns0:c r="Z11" s="79" t="str">
        <ns0:v>Evidencias Git, fila 7</ns0:v>
      </ns0:c>
    </ns0:row>
    <ns0:row r="12" ht="100" customHeight="1">
      <ns0:c r="A12" s="79" t="str">
        <ns0:v>P01.05</ns0:v>
      </ns0:c>
      <ns0:c r="B12" s="79" t="n">
        <ns0:v>2</ns0:v>
      </ns0:c>
      <ns0:c r="C12" s="79" t="str">
        <ns0:v>Preparación: Interrelacionar equipos y servidor (registro histórico)</ns0:v>
      </ns0:c>
      <ns0:c r="D12" s="79" t="str">
        <ns0:v>RF3</ns0:v>
      </ns0:c>
      <ns0:c r="E12" s="79" t="str">
        <ns0:v>P01.04</ns0:v>
      </ns0:c>
      <ns0:c r="F12" s="79" t="n">
        <ns0:v>1</ns0:v>
      </ns0:c>
      <ns0:c r="G12" s="79" t="str">
        <ns0:v>Reportada</ns0:v>
      </ns0:c>
      <ns0:c r="H12" s="97" t="str">
        <ns0:v>Jesús</ns0:v>
      </ns0:c>
      <ns0:c r="I12" s="98" t="n">
        <ns0:v>1</ns0:v>
      </ns0:c>
      <ns0:c r="J12" s="98" t="n">
        <ns0:v>0</ns0:v>
      </ns0:c>
      <ns0:c r="K12" s="98" t="n">
        <ns0:v>1</ns0:v>
      </ns0:c>
      <ns0:c r="L12" s="99"/>
      <ns0:c r="M12" s="99"/>
      <ns0:c r="N12" s="99"/>
      <ns0:c r="O12" s="99"/>
      <ns0:c r="P12" s="79" t="n">
        <ns0:f t="shared" si="0">IF(K12="","",K12-I12)</ns0:f>
        <ns0:v>0</ns0:v>
      </ns0:c>
      <ns0:c r="Q12" s="79" t="str">
        <ns0:f t="shared" si="1">IF(OR(L12="",M12=""),"",M12-L12)</ns0:f>
      </ns0:c>
      <ns0:c r="R12" s="79" t="str">
        <ns0:f t="shared" si="2">IF(OR(N12="",O12=""),"",O12-N12)</ns0:f>
      </ns0:c>
      <ns0:c r="S12" s="79" t="str">
        <ns0:v>Trabajo existente: no se afirma un ciclo rojo histórico. Conservar/regresar las pruebas disponibles.</ns0:v>
      </ns0:c>
      <ns0:c r="T12" s="79" t="str">
        <ns0:v>Conservar la declaración histórica sin exigir un servidor compartido.</ns0:v>
      </ns0:c>
      <ns0:c r="U12" s="79" t="str">
        <ns0:v>No se localiza implementación de servidor compartido. El servidor actual escucha en 127.0.0.1. No dar por probado acceso entre equipos. Revisar Evidencias Git, fila 7.</ns0:v>
      </ns0:c>
      <ns0:c r="V12" s="79" t="str">
        <ns0:f t="shared" si="3">IF(OR(G12="Implementada",G12="Reportada"),IF(OR(K12="",M12="",O12=""),"Faltan datos reales","Completo"),IF(G12="Parcial",IF(OR(K12="",M12=""),"Faltan horas/inicio","En curso"),"Pendiente"))</ns0:f>
        <ns0:v>Faltan datos reales</ns0:v>
      </ns0:c>
      <ns0:c r="W12" s="79" t="str">
        <ns0:v>Herramientas locales preparadas (agrupación retrospectiva).</ns0:v>
      </ns0:c>
      <ns0:c r="X12" s="79" t="str">
        <ns0:v>0ced1ae</ns0:v>
      </ns0:c>
      <ns0:c r="Y12" s="79" t="str">
        <ns0:v>Registro histórico sin cierre verificable</ns0:v>
      </ns0:c>
      <ns0:c r="Z12" s="79" t="str">
        <ns0:v>Evidencias Git, fila 7</ns0:v>
      </ns0:c>
    </ns0:row>
    <ns0:row r="13" ht="100" customHeight="1">
      <ns0:c r="A13" s="79" t="str">
        <ns0:v>P01.06</ns0:v>
      </ns0:c>
      <ns0:c r="B13" s="79" t="n">
        <ns0:v>2</ns0:v>
      </ns0:c>
      <ns0:c r="C13" s="79" t="str">
        <ns0:v>Preparación: Concretar criterios medibles y alcance de la primera versión</ns0:v>
      </ns0:c>
      <ns0:c r="D13" s="79" t="str">
        <ns0:v>DOC16; DOC17; DOC18; DOC19; DOC20; DOC21</ns0:v>
      </ns0:c>
      <ns0:c r="E13" s="79"/>
      <ns0:c r="F13" s="79" t="n">
        <ns0:v>2</ns0:v>
      </ns0:c>
      <ns0:c r="G13" s="79" t="str">
        <ns0:v>Pendiente</ns0:v>
      </ns0:c>
      <ns0:c r="H13" s="97" t="str">
        <ns0:v>Jesús</ns0:v>
      </ns0:c>
      <ns0:c r="I13" s="98" t="n">
        <ns0:v>8</ns0:v>
      </ns0:c>
      <ns0:c r="J13" s="98" t="n">
        <ns0:v>8</ns0:v>
      </ns0:c>
      <ns0:c r="K13" s="98"/>
      <ns0:c r="L13" s="99"/>
      <ns0:c r="M13" s="99"/>
      <ns0:c r="N13" s="99"/>
      <ns0:c r="O13" s="99"/>
      <ns0:c r="P13" s="79" t="str">
        <ns0:f t="shared" si="0">IF(K13="","",K13-I13)</ns0:f>
      </ns0:c>
      <ns0:c r="Q13" s="79" t="str">
        <ns0:f t="shared" si="1">IF(OR(L13="",M13=""),"",M13-L13)</ns0:f>
      </ns0:c>
      <ns0:c r="R13" s="79" t="str">
        <ns0:f t="shared" si="2">IF(OR(N13="",O13=""),"",O13-N13)</ns0:f>
      </ns0:c>
      <ns0:c r="S13" s="79" t="str">
        <ns0:v>Preparación, aceptación o documentación: comprobar el criterio de cierre. No forzar TDD sobre instalación o documentación.</ns0:v>
      </ns0:c>
      <ns0:c r="T13" s="79" t="str">
        <ns0:v>Acordar carga/latencia, tamaños de pantalla, permisos, datos privados y políticas de contraseña/correo.</ns0:v>
      </ns0:c>
      <ns0:c r="U13" s="79" t="str">
        <ns0:v>Word 16–21: faltan umbrales de rendimiento, matriz de permisos y criterios verificables completos. Referencia del plan anterior: P01.06.</ns0:v>
      </ns0:c>
      <ns0:c r="V13" s="79" t="str">
        <ns0:f t="shared" si="3">IF(OR(G13="Implementada",G13="Reportada"),IF(OR(K13="",M13="",O13=""),"Faltan datos reales","Completo"),IF(G13="Parcial",IF(OR(K13="",M13=""),"Faltan horas/inicio","En curso"),"Pendiente"))</ns0:f>
        <ns0:v>Pendiente</ns0:v>
      </ns0:c>
      <ns0:c r="W13" s="79" t="str">
        <ns0:v>Criterios verificables acordados para comenzar cada módulo.</ns0:v>
      </ns0:c>
      <ns0:c r="X13" s="79"/>
      <ns0:c r="Y13" s="79" t="str">
        <ns0:v>Pendiente: sin implementación atribuible.</ns0:v>
      </ns0:c>
      <ns0:c r="Z13" s="79" t="str">
        <ns0:v>Evidencias Git, fila 8</ns0:v>
      </ns0:c>
    </ns0:row>
    <ns0:row r="14" ht="112" customHeight="1">
      <ns0:c r="A14" s="85" t="str">
        <ns0:v>P01.07</ns0:v>
      </ns0:c>
      <ns0:c r="B14" s="85" t="n">
        <ns0:v>2</ns0:v>
      </ns0:c>
      <ns0:c r="C14" s="85" t="str">
        <ns0:v>Infraestructura: definir y preparar VM Windows de referencia</ns0:v>
      </ns0:c>
      <ns0:c r="D14" s="85" t="str">
        <ns0:v>RF3; DOC19; DOC21</ns0:v>
      </ns0:c>
      <ns0:c r="E14" s="85"/>
      <ns0:c r="F14" s="85" t="n">
        <ns0:v>3</ns0:v>
      </ns0:c>
      <ns0:c r="G14" s="85" t="str">
        <ns0:v>Pendiente</ns0:v>
      </ns0:c>
      <ns0:c r="H14" s="88" t="str">
        <ns0:v>Jesús</ns0:v>
      </ns0:c>
      <ns0:c r="I14" s="89" t="n">
        <ns0:v>6</ns0:v>
      </ns0:c>
      <ns0:c r="J14" s="89" t="n">
        <ns0:v>6</ns0:v>
      </ns0:c>
      <ns0:c r="K14" s="89"/>
      <ns0:c r="L14" s="90"/>
      <ns0:c r="M14" s="90"/>
      <ns0:c r="N14" s="90"/>
      <ns0:c r="O14" s="90"/>
      <ns0:c r="P14" s="85" t="str">
        <ns0:f>IF(K14="","",K14-I14)</ns0:f>
      </ns0:c>
      <ns0:c r="Q14" s="85" t="str">
        <ns0:f>IF(OR(L14="",M14=""),"",M14-L14)</ns0:f>
      </ns0:c>
      <ns0:c r="R14" s="85" t="str">
        <ns0:f>IF(OR(N14="",O14=""),"",O14-N14)</ns0:f>
      </ns0:c>
      <ns0:c r="S14" s="85" t="str">
        <ns0:v>Preparación de infraestructura: criterios de aceptación y comprobación en VM; no declarar ciclo TDD de una instalación manual.</ns0:v>
      </ns0:c>
      <ns0:c r="T14" s="85" t="str">
        <ns0:v>Comprobar virtualización y recursos disponibles; fijar versión de VirtualBox base, ISO Windows y configuración CPU/RAM/disco/red. Documentar creación y snapshot limpio. No copiar credenciales ni datos personales. Comprobar disponibilidad de licencia/ISO Windows por separado.</ns0:v>
      </ns0:c>
      <ns0:c r="U14" s="85" t="str">
        <ns0:v>Trabajo habilitador solicitado por el equipo; no es funcionalidad nueva del producto. Estimación inicial 6 h, incluida validación. Documento de VM y configuración reproducible (por crear).</ns0:v>
      </ns0:c>
      <ns0:c r="V14" s="85" t="str">
        <ns0:f>IF(OR(G14="Implementada",G14="Reportada"),IF(OR(K14="",M14="",O14=""),"Faltan datos reales","Completo"),IF(G14="Parcial",IF(OR(K14="",M14=""),"Faltan horas/inicio","En curso"),"Pendiente"))</ns0:f>
        <ns0:v>Pendiente</ns0:v>
      </ns0:c>
      <ns0:c r="W14" s="85" t="str">
        <ns0:v>VM Windows limpia y reproducible para ejecutar los scripts.</ns0:v>
      </ns0:c>
      <ns0:c r="X14" s="85"/>
      <ns0:c r="Y14" s="85" t="str">
        <ns0:v>Pendiente: sin scripts ni commit atribuible.</ns0:v>
      </ns0:c>
      <ns0:c r="Z14" s="85" t="str">
        <ns0:v>Evidencias Git, fila 93</ns0:v>
      </ns0:c>
    </ns0:row>
    <ns0:row r="15" ht="112" customHeight="1">
      <ns0:c r="A15" s="85" t="str">
        <ns0:v>P01.08</ns0:v>
      </ns0:c>
      <ns0:c r="B15" s="85" t="n">
        <ns0:v>2</ns0:v>
      </ns0:c>
      <ns0:c r="C15" s="85" t="str">
        <ns0:v>Configuración: automatizar herramientas y descarga del proyecto</ns0:v>
      </ns0:c>
      <ns0:c r="D15" s="85" t="str">
        <ns0:v>RF3; DOC19; DOC21</ns0:v>
      </ns0:c>
      <ns0:c r="E15" s="85" t="str">
        <ns0:v>P01.07</ns0:v>
      </ns0:c>
      <ns0:c r="F15" s="85" t="n">
        <ns0:v>4</ns0:v>
      </ns0:c>
      <ns0:c r="G15" s="85" t="str">
        <ns0:v>Pendiente</ns0:v>
      </ns0:c>
      <ns0:c r="H15" s="88" t="str">
        <ns0:v>Alvaro</ns0:v>
      </ns0:c>
      <ns0:c r="I15" s="89" t="n">
        <ns0:v>6</ns0:v>
      </ns0:c>
      <ns0:c r="J15" s="89" t="n">
        <ns0:v>6</ns0:v>
      </ns0:c>
      <ns0:c r="K15" s="89"/>
      <ns0:c r="L15" s="90"/>
      <ns0:c r="M15" s="90"/>
      <ns0:c r="N15" s="90"/>
      <ns0:c r="O15" s="90"/>
      <ns0:c r="P15" s="85" t="str">
        <ns0:f t="shared" ref="P15:P23" si="4">IF(K15="","",K15-I15)</ns0:f>
      </ns0:c>
      <ns0:c r="Q15" s="85" t="str">
        <ns0:f t="shared" ref="Q15:Q23" si="5">IF(OR(L15="",M15=""),"",M15-L15)</ns0:f>
      </ns0:c>
      <ns0:c r="R15" s="85" t="str">
        <ns0:f t="shared" ref="R15:R23" si="6">IF(OR(N15="",O15=""),"",O15-N15)</ns0:f>
      </ns0:c>
      <ns0:c r="S15" s="85" t="str">
        <ns0:v>Rojo: prueba reproducible del comportamiento del script. Verde: implementar automatización mínima. Refactorizar; pruebas de comandos simulados y comprobación real en VM aislada.</ns0:v>
      </ns0:c>
      <ns0:c r="T15" s="85" t="str">
        <ns0:v>Instalar o seleccionar Git, Node/npm y editor según manual; obtener repositorio y usar lockfile. Comprobar versiones antes de modificar; no sustituir instalaciones ajenas. Informar qué requiere administrador y gestionar reinicio/nueva terminal.</ns0:v>
      </ns0:c>
      <ns0:c r="U15" s="85" t="str">
        <ns0:v>Trabajo habilitador solicitado por el equipo; no es funcionalidad nueva del producto. Estimación inicial 6 h, incluida validación. Script PowerShell de herramientas y documentación de uso (por crear).</ns0:v>
      </ns0:c>
      <ns0:c r="V15" s="85" t="str">
        <ns0:f t="shared" ref="V15:V23" si="7">IF(OR(G15="Implementada",G15="Reportada"),IF(OR(K15="",M15="",O15=""),"Faltan datos reales","Completo"),IF(G15="Parcial",IF(OR(K15="",M15=""),"Faltan horas/inicio","En curso"),"Pendiente"))</ns0:f>
        <ns0:v>Pendiente</ns0:v>
      </ns0:c>
      <ns0:c r="W15" s="85" t="str">
        <ns0:v>Script PowerShell de herramientas y repositorio.</ns0:v>
      </ns0:c>
      <ns0:c r="X15" s="85"/>
      <ns0:c r="Y15" s="85" t="str">
        <ns0:v>Pendiente: sin scripts ni commit atribuible.</ns0:v>
      </ns0:c>
      <ns0:c r="Z15" s="85" t="str">
        <ns0:v>Evidencias Git, fila 94</ns0:v>
      </ns0:c>
    </ns0:row>
    <ns0:row r="16" ht="112" customHeight="1">
      <ns0:c r="A16" s="85" t="str">
        <ns0:v>P01.09</ns0:v>
      </ns0:c>
      <ns0:c r="B16" s="85" t="n">
        <ns0:v>2</ns0:v>
      </ns0:c>
      <ns0:c r="C16" s="85" t="str">
        <ns0:v>Base de datos: automatizar PostgreSQL, roles y tres bases aisladas</ns0:v>
      </ns0:c>
      <ns0:c r="D16" s="85" t="str">
        <ns0:v>RF3; DOC19; DOC21</ns0:v>
      </ns0:c>
      <ns0:c r="E16" s="85" t="str">
        <ns0:v>P01.08, P02.01, P02.02</ns0:v>
      </ns0:c>
      <ns0:c r="F16" s="85" t="n">
        <ns0:v>5</ns0:v>
      </ns0:c>
      <ns0:c r="G16" s="85" t="str">
        <ns0:v>Pendiente</ns0:v>
      </ns0:c>
      <ns0:c r="H16" s="88" t="str">
        <ns0:v>Iñigo</ns0:v>
      </ns0:c>
      <ns0:c r="I16" s="89" t="n">
        <ns0:v>6</ns0:v>
      </ns0:c>
      <ns0:c r="J16" s="89" t="n">
        <ns0:v>6</ns0:v>
      </ns0:c>
      <ns0:c r="K16" s="89"/>
      <ns0:c r="L16" s="90"/>
      <ns0:c r="M16" s="90"/>
      <ns0:c r="N16" s="90"/>
      <ns0:c r="O16" s="90"/>
      <ns0:c r="P16" s="85" t="str">
        <ns0:f t="shared" si="4">IF(K16="","",K16-I16)</ns0:f>
      </ns0:c>
      <ns0:c r="Q16" s="85" t="str">
        <ns0:f t="shared" si="5">IF(OR(L16="",M16=""),"",M16-L16)</ns0:f>
      </ns0:c>
      <ns0:c r="R16" s="85" t="str">
        <ns0:f t="shared" si="6">IF(OR(N16="",O16=""),"",O16-N16)</ns0:f>
      </ns0:c>
      <ns0:c r="S16" s="85" t="str">
        <ns0:v>Rojo: prueba reproducible del comportamiento del script. Verde: implementar automatización mínima. Refactorizar; pruebas de comandos simulados y comprobación real en VM aislada.</ns0:v>
      </ns0:c>
      <ns0:c r="T16" s="85" t="str">
        <ns0:v>Preparar PostgreSQL y pgAdmin según manual, instancia/ruta/puerto propios, refind_dev/refind_test/refind_e2e y roles separados. Secretos solicitados o generados localmente; permisos y conexión con Node comprobados. Ante conflicto con instancia ajena, detenerse sin sobrescribir ni borrar datos.</ns0:v>
      </ns0:c>
      <ns0:c r="U16" s="85" t="str">
        <ns0:v>Trabajo habilitador solicitado por el equipo; no es funcionalidad nueva del producto. Estimación inicial 6 h, incluida validación. Script PowerShell/SQL de instalación y configuración de bases (por crear).</ns0:v>
      </ns0:c>
      <ns0:c r="V16" s="85" t="str">
        <ns0:f t="shared" si="7">IF(OR(G16="Implementada",G16="Reportada"),IF(OR(K16="",M16="",O16=""),"Faltan datos reales","Completo"),IF(G16="Parcial",IF(OR(K16="",M16=""),"Faltan horas/inicio","En curso"),"Pendiente"))</ns0:f>
        <ns0:v>Pendiente</ns0:v>
      </ns0:c>
      <ns0:c r="W16" s="85" t="str">
        <ns0:v>Script de PostgreSQL y bases development/test/e2e.</ns0:v>
      </ns0:c>
      <ns0:c r="X16" s="85"/>
      <ns0:c r="Y16" s="85" t="str">
        <ns0:v>Pendiente: sin scripts ni commit atribuible.</ns0:v>
      </ns0:c>
      <ns0:c r="Z16" s="85" t="str">
        <ns0:v>Evidencias Git, fila 95</ns0:v>
      </ns0:c>
    </ns0:row>
    <ns0:row r="17" ht="112" customHeight="1">
      <ns0:c r="A17" s="85" t="str">
        <ns0:v>P01.10</ns0:v>
      </ns0:c>
      <ns0:c r="B17" s="85" t="n">
        <ns0:v>2</ns0:v>
      </ns0:c>
      <ns0:c r="C17" s="85" t="str">
        <ns0:v>Pruebas: automatizar configuración de entornos y herramientas de test</ns0:v>
      </ns0:c>
      <ns0:c r="D17" s="85" t="str">
        <ns0:v>RF3; DOC19; DOC21</ns0:v>
      </ns0:c>
      <ns0:c r="E17" s="85" t="str">
        <ns0:v>P01.09, P02.03, P02.06</ns0:v>
      </ns0:c>
      <ns0:c r="F17" s="85" t="n">
        <ns0:v>6</ns0:v>
      </ns0:c>
      <ns0:c r="G17" s="85" t="str">
        <ns0:v>Pendiente</ns0:v>
      </ns0:c>
      <ns0:c r="H17" s="88" t="str">
        <ns0:v>Jorge</ns0:v>
      </ns0:c>
      <ns0:c r="I17" s="89" t="n">
        <ns0:v>6</ns0:v>
      </ns0:c>
      <ns0:c r="J17" s="89" t="n">
        <ns0:v>6</ns0:v>
      </ns0:c>
      <ns0:c r="K17" s="89"/>
      <ns0:c r="L17" s="90"/>
      <ns0:c r="M17" s="90"/>
      <ns0:c r="N17" s="90"/>
      <ns0:c r="O17" s="90"/>
      <ns0:c r="P17" s="85" t="str">
        <ns0:f t="shared" si="4">IF(K17="","",K17-I17)</ns0:f>
      </ns0:c>
      <ns0:c r="Q17" s="85" t="str">
        <ns0:f t="shared" si="5">IF(OR(L17="",M17=""),"",M17-L17)</ns0:f>
      </ns0:c>
      <ns0:c r="R17" s="85" t="str">
        <ns0:f t="shared" si="6">IF(OR(N17="",O17=""),"",O17-N17)</ns0:f>
      </ns0:c>
      <ns0:c r="S17" s="85" t="str">
        <ns0:v>Rojo: prueba reproducible del comportamiento del script. Verde: implementar automatización mínima. Refactorizar; pruebas de comandos simulados y comprobación real en VM aislada.</ns0:v>
      </ns0:c>
      <ns0:c r="T17" s="85" t="str">
        <ns0:v>Crear .env locales según config.js, con secretos distintos y sin registrarlos en Git/logs. Instalar dependencias compartidas y Chromium compatible. Aplicar migraciones existentes en cada base y ejecutar comprobaciones de entorno/BD/herramientas. No crear tablas o funcionalidad nueva de la aplicación.</ns0:v>
      </ns0:c>
      <ns0:c r="U17" s="85" t="str">
        <ns0:v>Trabajo habilitador solicitado por el equipo; no es funcionalidad nueva del producto. Estimación inicial 6 h, incluida validación. Script de configuración local y validación de los tres entornos (por crear).</ns0:v>
      </ns0:c>
      <ns0:c r="V17" s="85" t="str">
        <ns0:f t="shared" si="7">IF(OR(G17="Implementada",G17="Reportada"),IF(OR(K17="",M17="",O17=""),"Faltan datos reales","Completo"),IF(G17="Parcial",IF(OR(K17="",M17=""),"Faltan horas/inicio","En curso"),"Pendiente"))</ns0:f>
        <ns0:v>Pendiente</ns0:v>
      </ns0:c>
      <ns0:c r="W17" s="85" t="str">
        <ns0:v>Tres entornos configurados y verificables con comandos del proyecto.</ns0:v>
      </ns0:c>
      <ns0:c r="X17" s="85"/>
      <ns0:c r="Y17" s="85" t="str">
        <ns0:v>Pendiente: sin scripts ni commit atribuible.</ns0:v>
      </ns0:c>
      <ns0:c r="Z17" s="85" t="str">
        <ns0:v>Evidencias Git, fila 96</ns0:v>
      </ns0:c>
    </ns0:row>
    <ns0:row r="18" ht="112" customHeight="1">
      <ns0:c r="A18" s="85" t="str">
        <ns0:v>P01.11</ns0:v>
      </ns0:c>
      <ns0:c r="B18" s="85" t="n">
        <ns0:v>2</ns0:v>
      </ns0:c>
      <ns0:c r="C18" s="85" t="str">
        <ns0:v>Automatización: orquestar pasos y permitir repetir o reanudar</ns0:v>
      </ns0:c>
      <ns0:c r="D18" s="85" t="str">
        <ns0:v>RF3; DOC19; DOC21</ns0:v>
      </ns0:c>
      <ns0:c r="E18" s="85" t="str">
        <ns0:v>P01.08, P01.09, P01.10</ns0:v>
      </ns0:c>
      <ns0:c r="F18" s="85" t="n">
        <ns0:v>7</ns0:v>
      </ns0:c>
      <ns0:c r="G18" s="85" t="str">
        <ns0:v>Pendiente</ns0:v>
      </ns0:c>
      <ns0:c r="H18" s="88" t="str">
        <ns0:v>Gonzalo</ns0:v>
      </ns0:c>
      <ns0:c r="I18" s="89" t="n">
        <ns0:v>6</ns0:v>
      </ns0:c>
      <ns0:c r="J18" s="89" t="n">
        <ns0:v>6</ns0:v>
      </ns0:c>
      <ns0:c r="K18" s="89"/>
      <ns0:c r="L18" s="90"/>
      <ns0:c r="M18" s="90"/>
      <ns0:c r="N18" s="90"/>
      <ns0:c r="O18" s="90"/>
      <ns0:c r="P18" s="85" t="str">
        <ns0:f t="shared" si="4">IF(K18="","",K18-I18)</ns0:f>
      </ns0:c>
      <ns0:c r="Q18" s="85" t="str">
        <ns0:f t="shared" si="5">IF(OR(L18="",M18=""),"",M18-L18)</ns0:f>
      </ns0:c>
      <ns0:c r="R18" s="85" t="str">
        <ns0:f t="shared" si="6">IF(OR(N18="",O18=""),"",O18-N18)</ns0:f>
      </ns0:c>
      <ns0:c r="S18" s="85" t="str">
        <ns0:v>Rojo: prueba reproducible del comportamiento del script. Verde: implementar automatización mínima. Refactorizar; pruebas de comandos simulados y comprobación real en VM aislada.</ns0:v>
      </ns0:c>
      <ns0:c r="T18" s="85" t="str">
        <ns0:v>Ejecutar pasos en orden; detectar lo preparado, reanudar tras fallo y devolver códigos de salida útiles. Repetir no duplica roles/bases, no cambia contraseñas válidas ni pierde datos. Simular fallos de descarga, permisos y puerto ocupado; logs sin secretos.</ns0:v>
      </ns0:c>
      <ns0:c r="U18" s="85" t="str">
        <ns0:v>Trabajo habilitador solicitado por el equipo; no es funcionalidad nueva del producto. Estimación inicial 6 h, incluida validación. Script principal, pruebas de errores/repetición y README de scripts (por crear).</ns0:v>
      </ns0:c>
      <ns0:c r="V18" s="85" t="str">
        <ns0:f t="shared" si="7">IF(OR(G18="Implementada",G18="Reportada"),IF(OR(K18="",M18="",O18=""),"Faltan datos reales","Completo"),IF(G18="Parcial",IF(OR(K18="",M18=""),"Faltan horas/inicio","En curso"),"Pendiente"))</ns0:f>
        <ns0:v>Pendiente</ns0:v>
      </ns0:c>
      <ns0:c r="W18" s="85" t="str">
        <ns0:v>Comando principal con errores claros y ejecución repetible.</ns0:v>
      </ns0:c>
      <ns0:c r="X18" s="85"/>
      <ns0:c r="Y18" s="85" t="str">
        <ns0:v>Pendiente: sin scripts ni commit atribuible.</ns0:v>
      </ns0:c>
      <ns0:c r="Z18" s="85" t="str">
        <ns0:v>Evidencias Git, fila 97</ns0:v>
      </ns0:c>
    </ns0:row>
    <ns0:row r="19" ht="112" customHeight="1">
      <ns0:c r="A19" s="85" t="str">
        <ns0:v>P01.12</ns0:v>
      </ns0:c>
      <ns0:c r="B19" s="85" t="n">
        <ns0:v>2</ns0:v>
      </ns0:c>
      <ns0:c r="C19" s="85" t="str">
        <ns0:v>Integración: validar instalación completa en VM limpia y publicar guía</ns0:v>
      </ns0:c>
      <ns0:c r="D19" s="85" t="str">
        <ns0:v>RF3; DOC19; DOC21</ns0:v>
      </ns0:c>
      <ns0:c r="E19" s="85" t="str">
        <ns0:v>P01.11</ns0:v>
      </ns0:c>
      <ns0:c r="F19" s="85" t="n">
        <ns0:v>8</ns0:v>
      </ns0:c>
      <ns0:c r="G19" s="85" t="str">
        <ns0:v>Pendiente</ns0:v>
      </ns0:c>
      <ns0:c r="H19" s="88" t="str">
        <ns0:v>Alejandro</ns0:v>
      </ns0:c>
      <ns0:c r="I19" s="89" t="n">
        <ns0:v>6</ns0:v>
      </ns0:c>
      <ns0:c r="J19" s="89" t="n">
        <ns0:v>6</ns0:v>
      </ns0:c>
      <ns0:c r="K19" s="89"/>
      <ns0:c r="L19" s="90"/>
      <ns0:c r="M19" s="90"/>
      <ns0:c r="N19" s="90"/>
      <ns0:c r="O19" s="90"/>
      <ns0:c r="P19" s="85" t="str">
        <ns0:f t="shared" si="4">IF(K19="","",K19-I19)</ns0:f>
      </ns0:c>
      <ns0:c r="Q19" s="85" t="str">
        <ns0:f t="shared" si="5">IF(OR(L19="",M19=""),"",M19-L19)</ns0:f>
      </ns0:c>
      <ns0:c r="R19" s="85" t="str">
        <ns0:f t="shared" si="6">IF(OR(N19="",O19=""),"",O19-N19)</ns0:f>
      </ns0:c>
      <ns0:c r="S19" s="85" t="str">
        <ns0:v>Rojo: prueba reproducible del comportamiento del script. Verde: implementar automatización mínima. Refactorizar; pruebas de comandos simulados y comprobación real en VM aislada.</ns0:v>
      </ns0:c>
      <ns0:c r="T19" s="85" t="str">
        <ns0:v>Desde snapshot Windows limpio: preparar herramientas, clonar y ejecutar scripts; verificar desarrollo/test/e2e y aislamiento. Repetir, reiniciar VM y comprobar persistencia. Validar aplicación/pruebas existentes sin añadir casos funcionales nuevos. Actualizar manuales, documentar fallos y pasos manuales restantes.</ns0:v>
      </ns0:c>
      <ns0:c r="U19" s="85" t="str">
        <ns0:v>Trabajo habilitador solicitado por el equipo; no es funcionalidad nueva del producto. Estimación inicial 6 h, incluida validación. Guía corta de arranque, manuales actualizados y pruebas de automatización (por crear).</ns0:v>
      </ns0:c>
      <ns0:c r="V19" s="85" t="str">
        <ns0:f t="shared" si="7">IF(OR(G19="Implementada",G19="Reportada"),IF(OR(K19="",M19="",O19=""),"Faltan datos reales","Completo"),IF(G19="Parcial",IF(OR(K19="",M19=""),"Faltan horas/inicio","En curso"),"Pendiente"))</ns0:f>
        <ns0:v>Pendiente</ns0:v>
      </ns0:c>
      <ns0:c r="W19" s="85" t="str">
        <ns0:v>Procedimiento reproducible validado y listo para los seis desarrolladores.</ns0:v>
      </ns0:c>
      <ns0:c r="X19" s="85"/>
      <ns0:c r="Y19" s="85" t="str">
        <ns0:v>Pendiente: sin scripts ni commit atribuible.</ns0:v>
      </ns0:c>
      <ns0:c r="Z19" s="85" t="str">
        <ns0:v>Evidencias Git, fila 98</ns0:v>
      </ns0:c>
    </ns0:row>
    <ns0:row r="20" ht="30" customHeight="1">
      <ns0:c r="A20" s="94" t="str">
        <ns0:v>P02</ns0:v>
      </ns0:c>
      <ns0:c r="B20" s="94" t="n">
        <ns0:v>1</ns0:v>
      </ns0:c>
      <ns0:c r="C20" s="94" t="str">
        <ns0:v>Base técnica y entornos</ns0:v>
      </ns0:c>
      <ns0:c r="D20" s="94"/>
      <ns0:c r="E20" s="94"/>
      <ns0:c r="F20" s="94"/>
      <ns0:c r="G20" s="94"/>
      <ns0:c r="H20" s="94"/>
      <ns0:c r="I20" s="95" t="n">
        <ns0:f>SUM(I21:I31)</ns0:f>
        <ns0:v>33</ns0:v>
      </ns0:c>
      <ns0:c r="J20" s="95" t="n">
        <ns0:f>SUM(J21:J31)</ns0:f>
        <ns0:v>5</ns0:v>
      </ns0:c>
      <ns0:c r="K20" s="95" t="str">
        <ns0:f>IF(COUNT(K21:K31)=0,"",SUM(K21:K31))</ns0:f>
      </ns0:c>
      <ns0:c r="L20" s="96" t="str">
        <ns0:f>IF(COUNT(L21:L31)=11,MIN(L21:L31),"")</ns0:f>
      </ns0:c>
      <ns0:c r="M20" s="96" t="str">
        <ns0:f>IF(COUNT(M21:M31)=11,MIN(M21:M31),"")</ns0:f>
      </ns0:c>
      <ns0:c r="N20" s="96" t="str">
        <ns0:f>IF(COUNT(N21:N31)=11,MAX(N21:N31),"")</ns0:f>
      </ns0:c>
      <ns0:c r="O20" s="96" t="str">
        <ns0:f>IF(COUNT(O21:O31)=11,MAX(O21:O31),"")</ns0:f>
      </ns0:c>
      <ns0:c r="S20" s="94"/>
      <ns0:c r="T20" s="94" t="str">
        <ns0:v>Implementadas todas las iteraciones del módulo</ns0:v>
      </ns0:c>
      <ns0:c r="U20" s="94"/>
      <ns0:c r="W20" s="94"/>
      <ns0:c r="X20" s="94"/>
      <ns0:c r="Y20" s="94"/>
      <ns0:c r="Z20" s="94"/>
    </ns0:row>
    <ns0:row r="21" ht="100" customHeight="1">
      <ns0:c r="A21" s="79" t="str">
        <ns0:v>P02.01</ns0:v>
      </ns0:c>
      <ns0:c r="B21" s="79" t="n">
        <ns0:v>2</ns0:v>
      </ns0:c>
      <ns0:c r="C21" s="79" t="str">
        <ns0:v>Base de datos: Configurar PostgreSQL local y tres entornos aislados</ns0:v>
      </ns0:c>
      <ns0:c r="D21" s="79" t="str">
        <ns0:v>RF3; DOC19</ns0:v>
      </ns0:c>
      <ns0:c r="E21" s="79" t="str">
        <ns0:v>P01.04</ns0:v>
      </ns0:c>
      <ns0:c r="F21" s="79" t="n">
        <ns0:v>1</ns0:v>
      </ns0:c>
      <ns0:c r="G21" s="79" t="str">
        <ns0:v>Reportada</ns0:v>
      </ns0:c>
      <ns0:c r="H21" s="97" t="str">
        <ns0:v>Jesús</ns0:v>
      </ns0:c>
      <ns0:c r="I21" s="98" t="n">
        <ns0:v>8</ns0:v>
      </ns0:c>
      <ns0:c r="J21" s="98" t="n">
        <ns0:v>0</ns0:v>
      </ns0:c>
      <ns0:c r="K21" s="98"/>
      <ns0:c r="L21" s="99"/>
      <ns0:c r="M21" s="99"/>
      <ns0:c r="N21" s="99"/>
      <ns0:c r="O21" s="99"/>
      <ns0:c r="P21" s="79" t="str">
        <ns0:f t="shared" si="4">IF(K21="","",K21-I21)</ns0:f>
      </ns0:c>
      <ns0:c r="Q21" s="79" t="str">
        <ns0:f t="shared" si="5">IF(OR(L21="",M21=""),"",M21-L21)</ns0:f>
      </ns0:c>
      <ns0:c r="R21" s="79" t="str">
        <ns0:f t="shared" si="6">IF(OR(N21="",O21=""),"",O21-N21)</ns0:f>
      </ns0:c>
      <ns0:c r="S21" s="79" t="str">
        <ns0:v>Trabajo existente: no se afirma un ciclo rojo histórico. Conservar/regresar las pruebas disponibles.</ns0:v>
      </ns0:c>
      <ns0:c r="T21" s="79" t="str">
        <ns0:v>Conexión, roles, aislamiento y persistencia local comprobables.</ns0:v>
      </ns0:c>
      <ns0:c r="U21" s="79" t="str">
        <ns0:v>Git no contiene las bases, los roles ni los .env locales. check:db consulta permisos; no prueba escritura, reinicio ni pgAdmin. Cierre local comunicado fuera de Git. Revisar Evidencias Git, fila 9.</ns0:v>
      </ns0:c>
      <ns0:c r="V21" s="79" t="str">
        <ns0:f t="shared" si="7">IF(OR(G21="Implementada",G21="Reportada"),IF(OR(K21="",M21="",O21=""),"Faltan datos reales","Completo"),IF(G21="Parcial",IF(OR(K21="",M21=""),"Faltan horas/inicio","En curso"),"Pendiente"))</ns0:f>
        <ns0:v>Faltan datos reales</ns0:v>
      </ns0:c>
      <ns0:c r="W21" s="79" t="str">
        <ns0:v>Instancia PostgreSQL local comprobada.</ns0:v>
      </ns0:c>
      <ns0:c r="X21" s="79" t="str">
        <ns0:v>0ced1ae, 79ecb90</ns0:v>
      </ns0:c>
      <ns0:c r="Y21" s="79" t="str">
        <ns0:v>Instalación local declarada; manual y comprobador versionados</ns0:v>
      </ns0:c>
      <ns0:c r="Z21" s="79" t="str">
        <ns0:v>Evidencias Git, fila 9</ns0:v>
      </ns0:c>
    </ns0:row>
    <ns0:row r="22" ht="100" customHeight="1">
      <ns0:c r="A22" s="79" t="str">
        <ns0:v>P02.02</ns0:v>
      </ns0:c>
      <ns0:c r="B22" s="79" t="n">
        <ns0:v>2</ns0:v>
      </ns0:c>
      <ns0:c r="C22" s="79" t="str">
        <ns0:v>Base de datos: Crear migraciones de usuarios y sesiones</ns0:v>
      </ns0:c>
      <ns0:c r="D22" s="79" t="str">
        <ns0:v>RF3; DOC19</ns0:v>
      </ns0:c>
      <ns0:c r="E22" s="79" t="str">
        <ns0:v>P02.01</ns0:v>
      </ns0:c>
      <ns0:c r="F22" s="79" t="n">
        <ns0:v>2</ns0:v>
      </ns0:c>
      <ns0:c r="G22" s="79" t="str">
        <ns0:v>Implementada</ns0:v>
      </ns0:c>
      <ns0:c r="H22" s="97" t="str">
        <ns0:v>Iñigo</ns0:v>
      </ns0:c>
      <ns0:c r="I22" s="98" t="n">
        <ns0:v>3</ns0:v>
      </ns0:c>
      <ns0:c r="J22" s="98" t="n">
        <ns0:v>0</ns0:v>
      </ns0:c>
      <ns0:c r="K22" s="98"/>
      <ns0:c r="L22" s="99"/>
      <ns0:c r="M22" s="99"/>
      <ns0:c r="N22" s="99"/>
      <ns0:c r="O22" s="99"/>
      <ns0:c r="P22" s="79" t="str">
        <ns0:f t="shared" si="4">IF(K22="","",K22-I22)</ns0:f>
      </ns0:c>
      <ns0:c r="Q22" s="79" t="str">
        <ns0:f t="shared" si="5">IF(OR(L22="",M22=""),"",M22-L22)</ns0:f>
      </ns0:c>
      <ns0:c r="R22" s="79" t="str">
        <ns0:f t="shared" si="6">IF(OR(N22="",O22=""),"",O22-N22)</ns0:f>
      </ns0:c>
      <ns0:c r="S22" s="79" t="str">
        <ns0:v>Trabajo existente: no se afirma un ciclo rojo histórico. Conservar/regresar las pruebas disponibles.</ns0:v>
      </ns0:c>
      <ns0:c r="T22" s="79" t="str">
        <ns0:v>Migraciones users/session y ejecutor disponibles. No incluye entidades futuras ni prueba automatizada específica de migración desde base vacía.</ns0:v>
      </ns0:c>
      <ns0:c r="U22" s="79" t="str">
        <ns0:v>Solo users y session. No hay suite específica de aplicación/repetición de migraciones en base vacía. Las pruebas posteriores de auth y sesiones usan tablas ya preparadas. Revisar Evidencias Git, fila 10.</ns0:v>
      </ns0:c>
      <ns0:c r="V22" s="79" t="str">
        <ns0:f t="shared" si="7">IF(OR(G22="Implementada",G22="Reportada"),IF(OR(K22="",M22="",O22=""),"Faltan datos reales","Completo"),IF(G22="Parcial",IF(OR(K22="",M22=""),"Faltan horas/inicio","En curso"),"Pendiente"))</ns0:f>
        <ns0:v>Faltan datos reales</ns0:v>
      </ns0:c>
      <ns0:c r="W22" s="79" t="str">
        <ns0:v>Migraciones de usuarios y sesiones reutilizables.</ns0:v>
      </ns0:c>
      <ns0:c r="X22" s="79" t="str">
        <ns0:v>ac48a95</ns0:v>
      </ns0:c>
      <ns0:c r="Y22" s="79" t="str">
        <ns0:v>Alcance de código disponible en ac48a95</ns0:v>
      </ns0:c>
      <ns0:c r="Z22" s="79" t="str">
        <ns0:v>Evidencias Git, fila 10</ns0:v>
      </ns0:c>
    </ns0:row>
    <ns0:row r="23" ht="100" customHeight="1">
      <ns0:c r="A23" s="79" t="str">
        <ns0:v>P02.03</ns0:v>
      </ns0:c>
      <ns0:c r="B23" s="79" t="n">
        <ns0:v>2</ns0:v>
      </ns0:c>
      <ns0:c r="C23" s="79" t="str">
        <ns0:v>Configuración: Leer y validar configuración de los tres entornos</ns0:v>
      </ns0:c>
      <ns0:c r="D23" s="79" t="str">
        <ns0:v>RF3; DOC19</ns0:v>
      </ns0:c>
      <ns0:c r="E23" s="79" t="str">
        <ns0:v>P02.01, P02.02</ns0:v>
      </ns0:c>
      <ns0:c r="F23" s="79" t="n">
        <ns0:v>3</ns0:v>
      </ns0:c>
      <ns0:c r="G23" s="79" t="str">
        <ns0:v>Implementada</ns0:v>
      </ns0:c>
      <ns0:c r="H23" s="97" t="str">
        <ns0:v>Iñigo</ns0:v>
      </ns0:c>
      <ns0:c r="I23" s="98" t="n">
        <ns0:v>3</ns0:v>
      </ns0:c>
      <ns0:c r="J23" s="98" t="n">
        <ns0:v>0</ns0:v>
      </ns0:c>
      <ns0:c r="K23" s="98"/>
      <ns0:c r="L23" s="99"/>
      <ns0:c r="M23" s="99"/>
      <ns0:c r="N23" s="99"/>
      <ns0:c r="O23" s="99"/>
      <ns0:c r="P23" s="79" t="str">
        <ns0:f t="shared" si="4">IF(K23="","",K23-I23)</ns0:f>
      </ns0:c>
      <ns0:c r="Q23" s="79" t="str">
        <ns0:f t="shared" si="5">IF(OR(L23="",M23=""),"",M23-L23)</ns0:f>
      </ns0:c>
      <ns0:c r="R23" s="79" t="str">
        <ns0:f t="shared" si="6">IF(OR(N23="",O23=""),"",O23-N23)</ns0:f>
      </ns0:c>
      <ns0:c r="S23" s="79" t="str">
        <ns0:v>Trabajo existente: no se afirma un ciclo rojo histórico. Conservar/regresar las pruebas disponibles.</ns0:v>
      </ns0:c>
      <ns0:c r="T23" s="79" t="str">
        <ns0:v>Rechazar configuración inválida y seleccionar base y rol correspondientes.</ns0:v>
      </ns0:c>
      <ns0:c r="U23" s="79" t="str">
        <ns0:v>Código inicial en ac48a95; c3c9b39 añade unitarias y corrige parámetros URL y usuario mal codificado. tests/README documenta el rojo de cinco casos, no una secuencia de commits rojo/verde. Revisar Evidencias Git, fila 11.</ns0:v>
      </ns0:c>
      <ns0:c r="V23" s="79" t="str">
        <ns0:f t="shared" si="7">IF(OR(G23="Implementada",G23="Reportada"),IF(OR(K23="",M23="",O23=""),"Faltan datos reales","Completo"),IF(G23="Parcial",IF(OR(K23="",M23=""),"Faltan horas/inicio","En curso"),"Pendiente"))</ns0:f>
        <ns0:v>Faltan datos reales</ns0:v>
      </ns0:c>
      <ns0:c r="W23" s="79" t="str">
        <ns0:v>Configuración validada de los tres entornos: código inicial ac48a95; correcciones y unitarias c3c9b39.</ns0:v>
      </ns0:c>
      <ns0:c r="X23" s="79" t="str">
        <ns0:v>ac48a95, c3c9b39</ns0:v>
      </ns0:c>
      <ns0:c r="Y23" s="79" t="str">
        <ns0:v>Alcance actual de código y pruebas disponible en c3c9b39</ns0:v>
      </ns0:c>
      <ns0:c r="Z23" s="79" t="str">
        <ns0:v>Evidencias Git, fila 11</ns0:v>
      </ns0:c>
    </ns0:row>
    <ns0:row r="24" ht="100" customHeight="1">
      <ns0:c r="A24" s="79" t="str">
        <ns0:v>P02.04</ns0:v>
      </ns0:c>
      <ns0:c r="B24" s="79" t="n">
        <ns0:v>2</ns0:v>
      </ns0:c>
      <ns0:c r="C24" s="79" t="str">
        <ns0:v>Lógica de negocio: Preparar ciclo de vida del servidor Express</ns0:v>
      </ns0:c>
      <ns0:c r="D24" s="79" t="str">
        <ns0:v>RF3; DOC16; DOC17</ns0:v>
      </ns0:c>
      <ns0:c r="E24" s="79" t="str">
        <ns0:v>P02.02, P02.03</ns0:v>
      </ns0:c>
      <ns0:c r="F24" s="79" t="n">
        <ns0:v>4</ns0:v>
      </ns0:c>
      <ns0:c r="G24" s="79" t="str">
        <ns0:v>Implementada</ns0:v>
      </ns0:c>
      <ns0:c r="H24" s="97" t="str">
        <ns0:v>Iñigo</ns0:v>
      </ns0:c>
      <ns0:c r="I24" s="98" t="n">
        <ns0:v>3</ns0:v>
      </ns0:c>
      <ns0:c r="J24" s="98" t="n">
        <ns0:v>0</ns0:v>
      </ns0:c>
      <ns0:c r="K24" s="98"/>
      <ns0:c r="L24" s="99"/>
      <ns0:c r="M24" s="99"/>
      <ns0:c r="N24" s="99"/>
      <ns0:c r="O24" s="99"/>
      <ns0:c r="P24" s="79" t="str">
        <ns0:f>IF(K24="","",K24-I24)</ns0:f>
      </ns0:c>
      <ns0:c r="Q24" s="79" t="str">
        <ns0:f>IF(OR(L24="",M24=""),"",M24-L24)</ns0:f>
      </ns0:c>
      <ns0:c r="R24" s="79" t="str">
        <ns0:f>IF(OR(N24="",O24=""),"",O24-N24)</ns0:f>
      </ns0:c>
      <ns0:c r="S24" s="79" t="str">
        <ns0:v>Trabajo existente: no se afirma un ciclo rojo histórico. Conservar/regresar las pruebas disponibles.</ns0:v>
      </ns0:c>
      <ns0:c r="T24" s="79" t="str">
        <ns0:v>Arranque y cierre implementados; /health, vistas, 404 y recursos comprobados por suites. Apagado por señales sin caso automatizado específico.</ns0:v>
      </ns0:c>
      <ns0:c r="U24" s="79" t="str">
        <ns0:v>Hay arranque y cierre por señales en el código. Las suites no demuestran explícitamente el apagado de proceso por SIGINT/SIGTERM; no declarar esa cobertura. Revisar Evidencias Git, fila 12.</ns0:v>
      </ns0:c>
      <ns0:c r="V24" s="79" t="str">
        <ns0:f>IF(OR(G24="Implementada",G24="Reportada"),IF(OR(K24="",M24="",O24=""),"Faltan datos reales","Completo"),IF(G24="Parcial",IF(OR(K24="",M24=""),"Faltan horas/inicio","En curso"),"Pendiente"))</ns0:f>
        <ns0:v>Faltan datos reales</ns0:v>
      </ns0:c>
      <ns0:c r="W24" s="79" t="str">
        <ns0:v>Servidor con sesiones seguras para los demás módulos.</ns0:v>
      </ns0:c>
      <ns0:c r="X24" s="79" t="str">
        <ns0:v>68960da, c3c9b39</ns0:v>
      </ns0:c>
      <ns0:c r="Y24" s="79" t="str">
        <ns0:v>Servidor base en 68960da; pruebas ampliadas en c3c9b39</ns0:v>
      </ns0:c>
      <ns0:c r="Z24" s="79" t="str">
        <ns0:v>Evidencias Git, fila 12</ns0:v>
      </ns0:c>
    </ns0:row>
    <ns0:row r="25" ht="100" customHeight="1">
      <ns0:c r="A25" s="79" t="str">
        <ns0:v>P02.05</ns0:v>
      </ns0:c>
      <ns0:c r="B25" s="79" t="n">
        <ns0:v>2</ns0:v>
      </ns0:c>
      <ns0:c r="C25" s="79" t="str">
        <ns0:v>Seguridad: Configurar sesiones persistentes y cookies</ns0:v>
      </ns0:c>
      <ns0:c r="D25" s="79" t="str">
        <ns0:v>RF3; DOC16; DOC17</ns0:v>
      </ns0:c>
      <ns0:c r="E25" s="79" t="str">
        <ns0:v>P02.02, P02.03, P02.04</ns0:v>
      </ns0:c>
      <ns0:c r="F25" s="79" t="n">
        <ns0:v>4</ns0:v>
      </ns0:c>
      <ns0:c r="G25" s="79" t="str">
        <ns0:v>Implementada</ns0:v>
      </ns0:c>
      <ns0:c r="H25" s="97" t="str">
        <ns0:v>Iñigo</ns0:v>
      </ns0:c>
      <ns0:c r="I25" s="98" t="n">
        <ns0:v>3</ns0:v>
      </ns0:c>
      <ns0:c r="J25" s="98" t="n">
        <ns0:v>0</ns0:v>
      </ns0:c>
      <ns0:c r="K25" s="98"/>
      <ns0:c r="L25" s="99"/>
      <ns0:c r="M25" s="99"/>
      <ns0:c r="N25" s="99"/>
      <ns0:c r="O25" s="99"/>
      <ns0:c r="P25" s="79" t="str">
        <ns0:f>IF(K25="","",K25-I25)</ns0:f>
      </ns0:c>
      <ns0:c r="Q25" s="79" t="str">
        <ns0:f>IF(OR(L25="",M25=""),"",M25-L25)</ns0:f>
      </ns0:c>
      <ns0:c r="R25" s="79" t="str">
        <ns0:f>IF(OR(N25="",O25=""),"",O25-N25)</ns0:f>
      </ns0:c>
      <ns0:c r="S25" s="79" t="str">
        <ns0:v>Trabajo existente: no se afirma un ciclo rojo histórico. Conservar/regresar las pruebas disponibles.</ns0:v>
      </ns0:c>
      <ns0:c r="T25" s="79" t="str">
        <ns0:v>Sesiones en PostgreSQL y cookies según configuración.</ns0:v>
      </ns0:c>
      <ns0:c r="U25" s="79" t="str">
        <ns0:v>Las unitarias se añadieron después del código. Cookie para HTTP local (secure:false), no cierre de seguridad HTTPS/producción. Cambio en 7a6b88f de session.js es solo comentario. Revisar Evidencias Git, fila 12.</ns0:v>
      </ns0:c>
      <ns0:c r="V25" s="79" t="str">
        <ns0:f>IF(OR(G25="Implementada",G25="Reportada"),IF(OR(K25="",M25="",O25=""),"Faltan datos reales","Completo"),IF(G25="Parcial",IF(OR(K25="",M25=""),"Faltan horas/inicio","En curso"),"Pendiente"))</ns0:f>
        <ns0:v>Faltan datos reales</ns0:v>
      </ns0:c>
      <ns0:c r="W25" s="79" t="str">
        <ns0:v>Servidor con sesiones seguras para los demás módulos.</ns0:v>
      </ns0:c>
      <ns0:c r="X25" s="79" t="str">
        <ns0:v>68960da, c3c9b39</ns0:v>
      </ns0:c>
      <ns0:c r="Y25" s="79" t="str">
        <ns0:v>Sesiones e integración en 68960da; unitarias en c3c9b39</ns0:v>
      </ns0:c>
      <ns0:c r="Z25" s="79" t="str">
        <ns0:v>Evidencias Git, fila 12</ns0:v>
      </ns0:c>
    </ns0:row>
    <ns0:row r="26" ht="100" customHeight="1">
      <ns0:c r="A26" s="79" t="str">
        <ns0:v>P02.06</ns0:v>
      </ns0:c>
      <ns0:c r="B26" s="79" t="n">
        <ns0:v>2</ns0:v>
      </ns0:c>
      <ns0:c r="C26" s="79" t="str">
        <ns0:v>Integración: Preparar ejecutores de pruebas y comandos de verificación</ns0:v>
      </ns0:c>
      <ns0:c r="D26" s="79" t="str">
        <ns0:v>DOC21</ns0:v>
      </ns0:c>
      <ns0:c r="E26" s="79" t="str">
        <ns0:v>P02.04, P02.05</ns0:v>
      </ns0:c>
      <ns0:c r="F26" s="79" t="n">
        <ns0:v>5</ns0:v>
      </ns0:c>
      <ns0:c r="G26" s="79" t="str">
        <ns0:v>Implementada</ns0:v>
      </ns0:c>
      <ns0:c r="H26" s="97" t="str">
        <ns0:v>Jesús</ns0:v>
      </ns0:c>
      <ns0:c r="I26" s="98" t="n">
        <ns0:v>8</ns0:v>
      </ns0:c>
      <ns0:c r="J26" s="98" t="n">
        <ns0:v>0</ns0:v>
      </ns0:c>
      <ns0:c r="K26" s="98"/>
      <ns0:c r="L26" s="99"/>
      <ns0:c r="M26" s="99"/>
      <ns0:c r="N26" s="99"/>
      <ns0:c r="O26" s="99"/>
      <ns0:c r="P26" s="79" t="str">
        <ns0:f>IF(K26="","",K26-I26)</ns0:f>
      </ns0:c>
      <ns0:c r="Q26" s="79" t="str">
        <ns0:f>IF(OR(L26="",M26=""),"",M26-L26)</ns0:f>
      </ns0:c>
      <ns0:c r="R26" s="79" t="str">
        <ns0:f>IF(OR(N26="",O26=""),"",O26-N26)</ns0:f>
      </ns0:c>
      <ns0:c r="S26" s="79" t="str">
        <ns0:v>Trabajo existente: no se afirma un ciclo rojo histórico. Conservar/regresar las pruebas disponibles.</ns0:v>
      </ns0:c>
      <ns0:c r="T26" s="79" t="str">
        <ns0:v>Pruebas separadas y repetibles; informes locales disponibles.</ns0:v>
      </ns0:c>
      <ns0:c r="U26" s="79" t="str">
        <ns0:v>Instalar herramientas no prueba la aplicación. No se localizaron informes de ejecución ni CI versionados que certifiquen verde por commit. Revisar Evidencias Git, fila 13.</ns0:v>
      </ns0:c>
      <ns0:c r="V26" s="79" t="str">
        <ns0:f>IF(OR(G26="Implementada",G26="Reportada"),IF(OR(K26="",M26="",O26=""),"Faltan datos reales","Completo"),IF(G26="Parcial",IF(OR(K26="",M26=""),"Faltan horas/inicio","En curso"),"Pendiente"))</ns0:f>
        <ns0:v>Faltan datos reales</ns0:v>
      </ns0:c>
      <ns0:c r="W26" s="79" t="str">
        <ns0:v>Ejecutores de pruebas disponibles.</ns0:v>
      </ns0:c>
      <ns0:c r="X26" s="79" t="str">
        <ns0:v>0ced1ae, 68960da, c3c9b39</ns0:v>
      </ns0:c>
      <ns0:c r="Y26" s="79" t="str">
        <ns0:v>Herramientas en 0ced1ae; separación y E2E completos en c3c9b39</ns0:v>
      </ns0:c>
      <ns0:c r="Z26" s="79" t="str">
        <ns0:v>Evidencias Git, fila 13</ns0:v>
      </ns0:c>
    </ns0:row>
    <ns0:row r="27" ht="100" customHeight="1">
      <ns0:c r="A27" s="79" t="str">
        <ns0:v>P02.07</ns0:v>
      </ns0:c>
      <ns0:c r="B27" s="79" t="n">
        <ns0:v>2</ns0:v>
      </ns0:c>
      <ns0:c r="C27" s="79" t="str">
        <ns0:v>Configuración: validar entorno local de Alvaro</ns0:v>
      </ns0:c>
      <ns0:c r="D27" s="79" t="str">
        <ns0:v>RF3; DOC21</ns0:v>
      </ns0:c>
      <ns0:c r="E27" s="79" t="str">
        <ns0:v>P02.06</ns0:v>
      </ns0:c>
      <ns0:c r="F27" s="79" t="n">
        <ns0:v>6</ns0:v>
      </ns0:c>
      <ns0:c r="G27" s="79" t="str">
        <ns0:v>Pendiente</ns0:v>
      </ns0:c>
      <ns0:c r="H27" s="97" t="str">
        <ns0:v>Alvaro</ns0:v>
      </ns0:c>
      <ns0:c r="I27" s="98" t="n">
        <ns0:v>1</ns0:v>
      </ns0:c>
      <ns0:c r="J27" s="98" t="n">
        <ns0:v>1</ns0:v>
      </ns0:c>
      <ns0:c r="K27" s="98"/>
      <ns0:c r="L27" s="99"/>
      <ns0:c r="M27" s="99"/>
      <ns0:c r="N27" s="99"/>
      <ns0:c r="O27" s="99"/>
      <ns0:c r="P27" s="79" t="str">
        <ns0:f>IF(K27="","",K27-I27)</ns0:f>
      </ns0:c>
      <ns0:c r="Q27" s="79" t="str">
        <ns0:f>IF(OR(L27="",M27=""),"",M27-L27)</ns0:f>
      </ns0:c>
      <ns0:c r="R27" s="79" t="str">
        <ns0:f>IF(OR(N27="",O27=""),"",O27-N27)</ns0:f>
      </ns0:c>
      <ns0:c r="S27" s="79" t="str">
        <ns0:v>Preparación, aceptación o documentación: comprobar el criterio de cierre. No forzar TDD sobre instalación o documentación.</ns0:v>
      </ns0:c>
      <ns0:c r="T27" s="79" t="str">
        <ns0:v>Comprobar herramientas, aislamiento de bases y ejecutores en su equipo.</ns0:v>
      </ns0:c>
      <ns0:c r="U27" s="79" t="str">
        <ns0:v>Instalación individual según los manuales compartidos.</ns0:v>
      </ns0:c>
      <ns0:c r="V27" s="79" t="str">
        <ns0:f>IF(OR(G27="Implementada",G27="Reportada"),IF(OR(K27="",M27="",O27=""),"Faltan datos reales","Completo"),IF(G27="Parcial",IF(OR(K27="",M27=""),"Faltan horas/inicio","En curso"),"Pendiente"))</ns0:f>
        <ns0:v>Pendiente</ns0:v>
      </ns0:c>
      <ns0:c r="W27" s="79" t="str">
        <ns0:v>Entorno de Alvaro validado.</ns0:v>
      </ns0:c>
      <ns0:c r="X27" s="79"/>
      <ns0:c r="Y27" s="79" t="str">
        <ns0:v>Pendiente: sin implementación atribuible.</ns0:v>
      </ns0:c>
      <ns0:c r="Z27" s="79" t="str">
        <ns0:v>Evidencias Git, fila 14</ns0:v>
      </ns0:c>
    </ns0:row>
    <ns0:row r="28" ht="100" customHeight="1">
      <ns0:c r="A28" s="79" t="str">
        <ns0:v>P02.08</ns0:v>
      </ns0:c>
      <ns0:c r="B28" s="79" t="n">
        <ns0:v>2</ns0:v>
      </ns0:c>
      <ns0:c r="C28" s="79" t="str">
        <ns0:v>Configuración: validar entorno local de Jorge</ns0:v>
      </ns0:c>
      <ns0:c r="D28" s="79" t="str">
        <ns0:v>RF3; DOC21</ns0:v>
      </ns0:c>
      <ns0:c r="E28" s="79" t="str">
        <ns0:v>P02.06</ns0:v>
      </ns0:c>
      <ns0:c r="F28" s="79" t="n">
        <ns0:v>7</ns0:v>
      </ns0:c>
      <ns0:c r="G28" s="79" t="str">
        <ns0:v>Pendiente</ns0:v>
      </ns0:c>
      <ns0:c r="H28" s="97" t="str">
        <ns0:v>Jorge</ns0:v>
      </ns0:c>
      <ns0:c r="I28" s="98" t="n">
        <ns0:v>1</ns0:v>
      </ns0:c>
      <ns0:c r="J28" s="98" t="n">
        <ns0:v>1</ns0:v>
      </ns0:c>
      <ns0:c r="K28" s="98"/>
      <ns0:c r="L28" s="99"/>
      <ns0:c r="M28" s="99"/>
      <ns0:c r="N28" s="99"/>
      <ns0:c r="O28" s="99"/>
      <ns0:c r="P28" s="79" t="str">
        <ns0:f>IF(K28="","",K28-I28)</ns0:f>
      </ns0:c>
      <ns0:c r="Q28" s="79" t="str">
        <ns0:f>IF(OR(L28="",M28=""),"",M28-L28)</ns0:f>
      </ns0:c>
      <ns0:c r="R28" s="79" t="str">
        <ns0:f>IF(OR(N28="",O28=""),"",O28-N28)</ns0:f>
      </ns0:c>
      <ns0:c r="S28" s="79" t="str">
        <ns0:v>Preparación, aceptación o documentación: comprobar el criterio de cierre. No forzar TDD sobre instalación o documentación.</ns0:v>
      </ns0:c>
      <ns0:c r="T28" s="79" t="str">
        <ns0:v>Comprobar herramientas, aislamiento de bases y ejecutores en su equipo.</ns0:v>
      </ns0:c>
      <ns0:c r="U28" s="79" t="str">
        <ns0:v>Instalación individual según los manuales compartidos.</ns0:v>
      </ns0:c>
      <ns0:c r="V28" s="79" t="str">
        <ns0:f>IF(OR(G28="Implementada",G28="Reportada"),IF(OR(K28="",M28="",O28=""),"Faltan datos reales","Completo"),IF(G28="Parcial",IF(OR(K28="",M28=""),"Faltan horas/inicio","En curso"),"Pendiente"))</ns0:f>
        <ns0:v>Pendiente</ns0:v>
      </ns0:c>
      <ns0:c r="W28" s="79" t="str">
        <ns0:v>Entorno de Jorge validado.</ns0:v>
      </ns0:c>
      <ns0:c r="X28" s="79"/>
      <ns0:c r="Y28" s="79" t="str">
        <ns0:v>Pendiente: sin implementación atribuible.</ns0:v>
      </ns0:c>
      <ns0:c r="Z28" s="79" t="str">
        <ns0:v>Evidencias Git, fila 15</ns0:v>
      </ns0:c>
    </ns0:row>
    <ns0:row r="29" ht="100" customHeight="1">
      <ns0:c r="A29" s="79" t="str">
        <ns0:v>P02.09</ns0:v>
      </ns0:c>
      <ns0:c r="B29" s="79" t="n">
        <ns0:v>2</ns0:v>
      </ns0:c>
      <ns0:c r="C29" s="79" t="str">
        <ns0:v>Configuración: validar entorno local de Iñigo</ns0:v>
      </ns0:c>
      <ns0:c r="D29" s="79" t="str">
        <ns0:v>RF3; DOC21</ns0:v>
      </ns0:c>
      <ns0:c r="E29" s="79" t="str">
        <ns0:v>P02.06</ns0:v>
      </ns0:c>
      <ns0:c r="F29" s="79" t="n">
        <ns0:v>8</ns0:v>
      </ns0:c>
      <ns0:c r="G29" s="79" t="str">
        <ns0:v>Pendiente</ns0:v>
      </ns0:c>
      <ns0:c r="H29" s="97" t="str">
        <ns0:v>Iñigo</ns0:v>
      </ns0:c>
      <ns0:c r="I29" s="98" t="n">
        <ns0:v>1</ns0:v>
      </ns0:c>
      <ns0:c r="J29" s="98" t="n">
        <ns0:v>1</ns0:v>
      </ns0:c>
      <ns0:c r="K29" s="98"/>
      <ns0:c r="L29" s="99"/>
      <ns0:c r="M29" s="99"/>
      <ns0:c r="N29" s="99"/>
      <ns0:c r="O29" s="99"/>
      <ns0:c r="P29" s="79" t="str">
        <ns0:f>IF(K29="","",K29-I29)</ns0:f>
      </ns0:c>
      <ns0:c r="Q29" s="79" t="str">
        <ns0:f>IF(OR(L29="",M29=""),"",M29-L29)</ns0:f>
      </ns0:c>
      <ns0:c r="R29" s="79" t="str">
        <ns0:f>IF(OR(N29="",O29=""),"",O29-N29)</ns0:f>
      </ns0:c>
      <ns0:c r="S29" s="79" t="str">
        <ns0:v>Preparación, aceptación o documentación: comprobar el criterio de cierre. No forzar TDD sobre instalación o documentación.</ns0:v>
      </ns0:c>
      <ns0:c r="T29" s="79" t="str">
        <ns0:v>Comprobar herramientas, aislamiento de bases y ejecutores en su equipo.</ns0:v>
      </ns0:c>
      <ns0:c r="U29" s="79" t="str">
        <ns0:v>Instalación individual según los manuales compartidos.</ns0:v>
      </ns0:c>
      <ns0:c r="V29" s="79" t="str">
        <ns0:f>IF(OR(G29="Implementada",G29="Reportada"),IF(OR(K29="",M29="",O29=""),"Faltan datos reales","Completo"),IF(G29="Parcial",IF(OR(K29="",M29=""),"Faltan horas/inicio","En curso"),"Pendiente"))</ns0:f>
        <ns0:v>Pendiente</ns0:v>
      </ns0:c>
      <ns0:c r="W29" s="79" t="str">
        <ns0:v>Entorno de Iñigo validado.</ns0:v>
      </ns0:c>
      <ns0:c r="X29" s="79"/>
      <ns0:c r="Y29" s="79" t="str">
        <ns0:v>Pendiente: sin implementación atribuible.</ns0:v>
      </ns0:c>
      <ns0:c r="Z29" s="79" t="str">
        <ns0:v>Evidencias Git, fila 16</ns0:v>
      </ns0:c>
    </ns0:row>
    <ns0:row r="30" ht="100" customHeight="1">
      <ns0:c r="A30" s="79" t="str">
        <ns0:v>P02.10</ns0:v>
      </ns0:c>
      <ns0:c r="B30" s="79" t="n">
        <ns0:v>2</ns0:v>
      </ns0:c>
      <ns0:c r="C30" s="79" t="str">
        <ns0:v>Configuración: validar entorno local de Gonzalo</ns0:v>
      </ns0:c>
      <ns0:c r="D30" s="79" t="str">
        <ns0:v>RF3; DOC21</ns0:v>
      </ns0:c>
      <ns0:c r="E30" s="79" t="str">
        <ns0:v>P02.06</ns0:v>
      </ns0:c>
      <ns0:c r="F30" s="79" t="n">
        <ns0:v>9</ns0:v>
      </ns0:c>
      <ns0:c r="G30" s="79" t="str">
        <ns0:v>Pendiente</ns0:v>
      </ns0:c>
      <ns0:c r="H30" s="97" t="str">
        <ns0:v>Gonzalo</ns0:v>
      </ns0:c>
      <ns0:c r="I30" s="98" t="n">
        <ns0:v>1</ns0:v>
      </ns0:c>
      <ns0:c r="J30" s="98" t="n">
        <ns0:v>1</ns0:v>
      </ns0:c>
      <ns0:c r="K30" s="98"/>
      <ns0:c r="L30" s="99"/>
      <ns0:c r="M30" s="99"/>
      <ns0:c r="N30" s="99"/>
      <ns0:c r="O30" s="99"/>
      <ns0:c r="P30" s="79" t="str">
        <ns0:f>IF(K30="","",K30-I30)</ns0:f>
      </ns0:c>
      <ns0:c r="Q30" s="79" t="str">
        <ns0:f>IF(OR(L30="",M30=""),"",M30-L30)</ns0:f>
      </ns0:c>
      <ns0:c r="R30" s="79" t="str">
        <ns0:f>IF(OR(N30="",O30=""),"",O30-N30)</ns0:f>
      </ns0:c>
      <ns0:c r="S30" s="79" t="str">
        <ns0:v>Preparación, aceptación o documentación: comprobar el criterio de cierre. No forzar TDD sobre instalación o documentación.</ns0:v>
      </ns0:c>
      <ns0:c r="T30" s="79" t="str">
        <ns0:v>Comprobar herramientas, aislamiento de bases y ejecutores en su equipo.</ns0:v>
      </ns0:c>
      <ns0:c r="U30" s="79" t="str">
        <ns0:v>Instalación individual según los manuales compartidos.</ns0:v>
      </ns0:c>
      <ns0:c r="V30" s="79" t="str">
        <ns0:f>IF(OR(G30="Implementada",G30="Reportada"),IF(OR(K30="",M30="",O30=""),"Faltan datos reales","Completo"),IF(G30="Parcial",IF(OR(K30="",M30=""),"Faltan horas/inicio","En curso"),"Pendiente"))</ns0:f>
        <ns0:v>Pendiente</ns0:v>
      </ns0:c>
      <ns0:c r="W30" s="79" t="str">
        <ns0:v>Entorno de Gonzalo validado.</ns0:v>
      </ns0:c>
      <ns0:c r="X30" s="79"/>
      <ns0:c r="Y30" s="79" t="str">
        <ns0:v>Pendiente: sin implementación atribuible.</ns0:v>
      </ns0:c>
      <ns0:c r="Z30" s="79" t="str">
        <ns0:v>Evidencias Git, fila 17</ns0:v>
      </ns0:c>
    </ns0:row>
    <ns0:row r="31" ht="100" customHeight="1">
      <ns0:c r="A31" s="79" t="str">
        <ns0:v>P02.11</ns0:v>
      </ns0:c>
      <ns0:c r="B31" s="79" t="n">
        <ns0:v>2</ns0:v>
      </ns0:c>
      <ns0:c r="C31" s="79" t="str">
        <ns0:v>Configuración: validar entorno local de Alejandro</ns0:v>
      </ns0:c>
      <ns0:c r="D31" s="79" t="str">
        <ns0:v>RF3; DOC21</ns0:v>
      </ns0:c>
      <ns0:c r="E31" s="79" t="str">
        <ns0:v>P02.06</ns0:v>
      </ns0:c>
      <ns0:c r="F31" s="79" t="n">
        <ns0:v>10</ns0:v>
      </ns0:c>
      <ns0:c r="G31" s="79" t="str">
        <ns0:v>Pendiente</ns0:v>
      </ns0:c>
      <ns0:c r="H31" s="97" t="str">
        <ns0:v>Alejandro</ns0:v>
      </ns0:c>
      <ns0:c r="I31" s="98" t="n">
        <ns0:v>1</ns0:v>
      </ns0:c>
      <ns0:c r="J31" s="98" t="n">
        <ns0:v>1</ns0:v>
      </ns0:c>
      <ns0:c r="K31" s="98"/>
      <ns0:c r="L31" s="99"/>
      <ns0:c r="M31" s="99"/>
      <ns0:c r="N31" s="99"/>
      <ns0:c r="O31" s="99"/>
      <ns0:c r="P31" s="79" t="str">
        <ns0:f t="shared" ref="P31:P48" si="8">IF(K31="","",K31-I31)</ns0:f>
      </ns0:c>
      <ns0:c r="Q31" s="79" t="str">
        <ns0:f t="shared" ref="Q31:Q48" si="9">IF(OR(L31="",M31=""),"",M31-L31)</ns0:f>
      </ns0:c>
      <ns0:c r="R31" s="79" t="str">
        <ns0:f t="shared" ref="R31:R48" si="10">IF(OR(N31="",O31=""),"",O31-N31)</ns0:f>
      </ns0:c>
      <ns0:c r="S31" s="79" t="str">
        <ns0:v>Preparación, aceptación o documentación: comprobar el criterio de cierre. No forzar TDD sobre instalación o documentación.</ns0:v>
      </ns0:c>
      <ns0:c r="T31" s="79" t="str">
        <ns0:v>Comprobar herramientas, aislamiento de bases y ejecutores en su equipo.</ns0:v>
      </ns0:c>
      <ns0:c r="U31" s="79" t="str">
        <ns0:v>Instalación individual según los manuales compartidos.</ns0:v>
      </ns0:c>
      <ns0:c r="V31" s="79" t="str">
        <ns0:f t="shared" ref="V31:V48" si="11">IF(OR(G31="Implementada",G31="Reportada"),IF(OR(K31="",M31="",O31=""),"Faltan datos reales","Completo"),IF(G31="Parcial",IF(OR(K31="",M31=""),"Faltan horas/inicio","En curso"),"Pendiente"))</ns0:f>
        <ns0:v>Pendiente</ns0:v>
      </ns0:c>
      <ns0:c r="W31" s="79" t="str">
        <ns0:v>Entorno de Alejandro validado.</ns0:v>
      </ns0:c>
      <ns0:c r="X31" s="79"/>
      <ns0:c r="Y31" s="79" t="str">
        <ns0:v>Pendiente: sin implementación atribuible.</ns0:v>
      </ns0:c>
      <ns0:c r="Z31" s="79" t="str">
        <ns0:v>Evidencias Git, fila 18</ns0:v>
      </ns0:c>
    </ns0:row>
    <ns0:row r="32" ht="30" customHeight="1">
      <ns0:c r="A32" s="94" t="str">
        <ns0:v>P03</ns0:v>
      </ns0:c>
      <ns0:c r="B32" s="94" t="n">
        <ns0:v>1</ns0:v>
      </ns0:c>
      <ns0:c r="C32" s="94" t="str">
        <ns0:v>Portada y navegación</ns0:v>
      </ns0:c>
      <ns0:c r="D32" s="94"/>
      <ns0:c r="E32" s="94"/>
      <ns0:c r="F32" s="94"/>
      <ns0:c r="G32" s="94"/>
      <ns0:c r="H32" s="94"/>
      <ns0:c r="I32" s="95" t="n">
        <ns0:f>SUM(I33:I35)</ns0:f>
        <ns0:v>16</ns0:v>
      </ns0:c>
      <ns0:c r="J32" s="95" t="n">
        <ns0:f>SUM(J33:J35)</ns0:f>
        <ns0:v>6</ns0:v>
      </ns0:c>
      <ns0:c r="K32" s="95" t="str">
        <ns0:f>IF(COUNT(K33:K35)=0,"",SUM(K33:K35))</ns0:f>
      </ns0:c>
      <ns0:c r="L32" s="96" t="str">
        <ns0:f>IF(COUNT(L33:L35)=3,MIN(L33:L35),"")</ns0:f>
      </ns0:c>
      <ns0:c r="M32" s="96" t="str">
        <ns0:f>IF(COUNT(M33:M35)=3,MIN(M33:M35),"")</ns0:f>
      </ns0:c>
      <ns0:c r="N32" s="96" t="str">
        <ns0:f>IF(COUNT(N33:N35)=3,MAX(N33:N35),"")</ns0:f>
      </ns0:c>
      <ns0:c r="O32" s="96" t="str">
        <ns0:f>IF(COUNT(O33:O35)=3,MAX(O33:O35),"")</ns0:f>
      </ns0:c>
      <ns0:c r="S32" s="94"/>
      <ns0:c r="T32" s="94"/>
      <ns0:c r="U32" s="94"/>
      <ns0:c r="W32" s="94"/>
      <ns0:c r="X32" s="94"/>
      <ns0:c r="Y32" s="94"/>
      <ns0:c r="Z32" s="94"/>
    </ns0:row>
    <ns0:row r="33" ht="100" customHeight="1">
      <ns0:c r="A33" s="79" t="str">
        <ns0:v>P03.01</ns0:v>
      </ns0:c>
      <ns0:c r="B33" s="79" t="n">
        <ns0:v>2</ns0:v>
      </ns0:c>
      <ns0:c r="C33" s="79" t="str">
        <ns0:v>Interfaz de usuario: Construir portada, estilos e imágenes de referencia</ns0:v>
      </ns0:c>
      <ns0:c r="D33" s="79" t="str">
        <ns0:v>RF19; RF20</ns0:v>
      </ns0:c>
      <ns0:c r="E33" s="79" t="str">
        <ns0:v>P02.04, P02.05</ns0:v>
      </ns0:c>
      <ns0:c r="F33" s="79" t="n">
        <ns0:v>1</ns0:v>
      </ns0:c>
      <ns0:c r="G33" s="79" t="str">
        <ns0:v>Implementada</ns0:v>
      </ns0:c>
      <ns0:c r="H33" s="97" t="str">
        <ns0:v>Jesús</ns0:v>
      </ns0:c>
      <ns0:c r="I33" s="98" t="n">
        <ns0:v>10</ns0:v>
      </ns0:c>
      <ns0:c r="J33" s="98" t="n">
        <ns0:v>0</ns0:v>
      </ns0:c>
      <ns0:c r="K33" s="98"/>
      <ns0:c r="L33" s="99"/>
      <ns0:c r="M33" s="99"/>
      <ns0:c r="N33" s="99"/>
      <ns0:c r="O33" s="99"/>
      <ns0:c r="P33" s="79" t="str">
        <ns0:f t="shared" si="8">IF(K33="","",K33-I33)</ns0:f>
      </ns0:c>
      <ns0:c r="Q33" s="79" t="str">
        <ns0:f t="shared" si="9">IF(OR(L33="",M33=""),"",M33-L33)</ns0:f>
      </ns0:c>
      <ns0:c r="R33" s="79" t="str">
        <ns0:f t="shared" si="10">IF(OR(N33="",O33=""),"",O33-N33)</ns0:f>
      </ns0:c>
      <ns0:c r="S33" s="79" t="str">
        <ns0:v>Trabajo existente: no se afirma un ciclo rojo histórico. Conservar/regresar las pruebas disponibles.</ns0:v>
      </ns0:c>
      <ns0:c r="T33" s="79" t="str">
        <ns0:v>Portada responsive con ejemplos identificados; no equivale a búsquedas reales.</ns0:v>
      </ns0:c>
      <ns0:c r="U33" s="79" t="str">
        <ns0:v>Busca y filtra ejemplos locales; no cubre RF9/RF10 con datos reales. Los enlaces de registro/acceso se conectan después, en 7a6b88f. Revisar Evidencias Git, fila 19.</ns0:v>
      </ns0:c>
      <ns0:c r="V33" s="79" t="str">
        <ns0:f t="shared" si="11">IF(OR(G33="Implementada",G33="Reportada"),IF(OR(K33="",M33="",O33=""),"Faltan datos reales","Completo"),IF(G33="Parcial",IF(OR(K33="",M33=""),"Faltan horas/inicio","En curso"),"Pendiente"))</ns0:f>
        <ns0:v>Faltan datos reales</ns0:v>
      </ns0:c>
      <ns0:c r="W33" s="79" t="str">
        <ns0:v>Portada disponible (agrupación retrospectiva).</ns0:v>
      </ns0:c>
      <ns0:c r="X33" s="79" t="str">
        <ns0:v>c3c9b39</ns0:v>
      </ns0:c>
      <ns0:c r="Y33" s="79" t="str">
        <ns0:v>Portada y pruebas disponibles en c3c9b39</ns0:v>
      </ns0:c>
      <ns0:c r="Z33" s="79" t="str">
        <ns0:v>Evidencias Git, fila 19</ns0:v>
      </ns0:c>
    </ns0:row>
    <ns0:row r="34" ht="100" customHeight="1">
      <ns0:c r="A34" s="79" t="str">
        <ns0:v>P03.02</ns0:v>
      </ns0:c>
      <ns0:c r="B34" s="79" t="n">
        <ns0:v>2</ns0:v>
      </ns0:c>
      <ns0:c r="C34" s="79" t="str">
        <ns0:v>Interfaz de usuario: Preparar menú de secciones según sesión</ns0:v>
      </ns0:c>
      <ns0:c r="D34" s="79" t="str">
        <ns0:v>RF19</ns0:v>
      </ns0:c>
      <ns0:c r="E34" s="79" t="str">
        <ns0:v>P03.01</ns0:v>
      </ns0:c>
      <ns0:c r="F34" s="79" t="n">
        <ns0:v>2</ns0:v>
      </ns0:c>
      <ns0:c r="G34" s="79" t="str">
        <ns0:v>Parcial</ns0:v>
      </ns0:c>
      <ns0:c r="H34" s="97" t="str">
        <ns0:v>Iñigo</ns0:v>
      </ns0:c>
      <ns0:c r="I34" s="98" t="n">
        <ns0:v>4</ns0:v>
      </ns0:c>
      <ns0:c r="J34" s="98" t="n">
        <ns0:v>4</ns0:v>
      </ns0:c>
      <ns0:c r="K34" s="98"/>
      <ns0:c r="L34" s="99"/>
      <ns0:c r="M34" s="99"/>
      <ns0:c r="N34" s="99"/>
      <ns0:c r="O34" s="99"/>
      <ns0:c r="P34" s="79" t="str">
        <ns0:f t="shared" si="8">IF(K34="","",K34-I34)</ns0:f>
      </ns0:c>
      <ns0:c r="Q34" s="79" t="str">
        <ns0:f t="shared" si="9">IF(OR(L34="",M34=""),"",M34-L34)</ns0:f>
      </ns0:c>
      <ns0:c r="R34" s="79" t="str">
        <ns0:f t="shared" si="10">IF(OR(N34="",O34=""),"",O34-N34)</ns0:f>
      </ns0:c>
      <ns0:c r="S34" s="79" t="str">
        <ns0:v>Rojo: caso que demuestre el fallo del criterio. Verde: implementar y ejecutar la prueba. Refactorizar sin perder el verde. Pruebas de interacción y validación de interfaz.</ns0:v>
      </ns0:c>
      <ns0:c r="T34" s="79" t="str">
        <ns0:v>Menú accesible, apertura y cierre con rutas previstas.</ns0:v>
      </ns0:c>
      <ns0:c r="U34" s="79" t="str">
        <ns0:v>No existe todavía menú completo de futuras secciones ni sus rutas. Las acciones de publicar muestran avisos; no cerrar la iteración P03/2. Revisar Evidencias Git, fila 20.</ns0:v>
      </ns0:c>
      <ns0:c r="V34" s="79" t="str">
        <ns0:f t="shared" si="11">IF(OR(G34="Implementada",G34="Reportada"),IF(OR(K34="",M34="",O34=""),"Faltan datos reales","Completo"),IF(G34="Parcial",IF(OR(K34="",M34=""),"Faltan horas/inicio","En curso"),"Pendiente"))</ns0:f>
        <ns0:v>Faltan horas/inicio</ns0:v>
      </ns0:c>
      <ns0:c r="W34" s="79" t="str">
        <ns0:v>Menú conectado a las secciones disponibles.</ns0:v>
      </ns0:c>
      <ns0:c r="X34" s="79" t="str">
        <ns0:v>c3c9b39, 7a6b88f</ns0:v>
      </ns0:c>
      <ns0:c r="Y34" s="79" t="str">
        <ns0:v>Parcial: enlaces de cuenta disponibles en 7a6b88f</ns0:v>
      </ns0:c>
      <ns0:c r="Z34" s="79" t="str">
        <ns0:v>Evidencias Git, fila 20</ns0:v>
      </ns0:c>
    </ns0:row>
    <ns0:row r="35" ht="100" customHeight="1">
      <ns0:c r="A35" s="79" t="str">
        <ns0:v>P03.03</ns0:v>
      </ns0:c>
      <ns0:c r="B35" s="79" t="n">
        <ns0:v>2</ns0:v>
      </ns0:c>
      <ns0:c r="C35" s="79" t="str">
        <ns0:v>Integración: Comprobar navegación de las secciones disponibles</ns0:v>
      </ns0:c>
      <ns0:c r="D35" s="79" t="str">
        <ns0:v>RF19</ns0:v>
      </ns0:c>
      <ns0:c r="E35" s="79" t="str">
        <ns0:v>P03.01, P03.02</ns0:v>
      </ns0:c>
      <ns0:c r="F35" s="79" t="n">
        <ns0:v>2</ns0:v>
      </ns0:c>
      <ns0:c r="G35" s="79" t="str">
        <ns0:v>Parcial</ns0:v>
      </ns0:c>
      <ns0:c r="H35" s="97" t="str">
        <ns0:v>Jesús</ns0:v>
      </ns0:c>
      <ns0:c r="I35" s="98" t="n">
        <ns0:v>2</ns0:v>
      </ns0:c>
      <ns0:c r="J35" s="98" t="n">
        <ns0:v>2</ns0:v>
      </ns0:c>
      <ns0:c r="K35" s="98"/>
      <ns0:c r="L35" s="99"/>
      <ns0:c r="M35" s="99"/>
      <ns0:c r="N35" s="99"/>
      <ns0:c r="O35" s="99"/>
      <ns0:c r="P35" s="79" t="str">
        <ns0:f t="shared" si="8">IF(K35="","",K35-I35)</ns0:f>
      </ns0:c>
      <ns0:c r="Q35" s="79" t="str">
        <ns0:f t="shared" si="9">IF(OR(L35="",M35=""),"",M35-L35)</ns0:f>
      </ns0:c>
      <ns0:c r="R35" s="79" t="str">
        <ns0:f t="shared" si="10">IF(OR(N35="",O35=""),"",O35-N35)</ns0:f>
      </ns0:c>
      <ns0:c r="S35" s="79" t="str">
        <ns0:v>Rojo: caso que demuestre el fallo del criterio. Verde: implementar y ejecutar la prueba. Refactorizar sin perder el verde. Comprobar componentes conectados y flujo E2E pertinente.</ns0:v>
      </ns0:c>
      <ns0:c r="T35" s="79" t="str">
        <ns0:v>Enlaces de registro y acceso operativos; completar rutas futuras en cierre transversal.</ns0:v>
      </ns0:c>
      <ns0:c r="U35" s="79" t="str">
        <ns0:v>No existe todavía menú completo de futuras secciones ni sus rutas. Las acciones de publicar muestran avisos; no cerrar la iteración P03/2. Revisar Evidencias Git, fila 20.</ns0:v>
      </ns0:c>
      <ns0:c r="V35" s="79" t="str">
        <ns0:f t="shared" si="11">IF(OR(G35="Implementada",G35="Reportada"),IF(OR(K35="",M35="",O35=""),"Faltan datos reales","Completo"),IF(G35="Parcial",IF(OR(K35="",M35=""),"Faltan horas/inicio","En curso"),"Pendiente"))</ns0:f>
        <ns0:v>Faltan horas/inicio</ns0:v>
      </ns0:c>
      <ns0:c r="W35" s="79" t="str">
        <ns0:v>Menú conectado a las secciones disponibles.</ns0:v>
      </ns0:c>
      <ns0:c r="X35" s="79" t="str">
        <ns0:v>c3c9b39, 7a6b88f</ns0:v>
      </ns0:c>
      <ns0:c r="Y35" s="79" t="str">
        <ns0:v>Parcial: enlaces de cuenta disponibles en 7a6b88f</ns0:v>
      </ns0:c>
      <ns0:c r="Z35" s="79" t="str">
        <ns0:v>Evidencias Git, fila 20</ns0:v>
      </ns0:c>
    </ns0:row>
    <ns0:row r="36" ht="30" customHeight="1">
      <ns0:c r="A36" s="94" t="str">
        <ns0:v>P04</ns0:v>
      </ns0:c>
      <ns0:c r="B36" s="94" t="n">
        <ns0:v>1</ns0:v>
      </ns0:c>
      <ns0:c r="C36" s="94" t="str">
        <ns0:v>Cuentas y credenciales</ns0:v>
      </ns0:c>
      <ns0:c r="D36" s="94"/>
      <ns0:c r="E36" s="94"/>
      <ns0:c r="F36" s="94"/>
      <ns0:c r="G36" s="94"/>
      <ns0:c r="H36" s="94"/>
      <ns0:c r="I36" s="95" t="n">
        <ns0:f>SUM(I37:I54)</ns0:f>
        <ns0:v>31</ns0:v>
      </ns0:c>
      <ns0:c r="J36" s="95" t="n">
        <ns0:f>SUM(J37:J54)</ns0:f>
        <ns0:v>18</ns0:v>
      </ns0:c>
      <ns0:c r="K36" s="95" t="str">
        <ns0:f>IF(COUNT(K37:K54)=0,"",SUM(K37:K54))</ns0:f>
      </ns0:c>
      <ns0:c r="L36" s="96" t="str">
        <ns0:f>IF(COUNT(L37:L54)=18,MIN(L37:L54),"")</ns0:f>
      </ns0:c>
      <ns0:c r="M36" s="96" t="str">
        <ns0:f>IF(COUNT(M37:M54)=18,MIN(M37:M54),"")</ns0:f>
      </ns0:c>
      <ns0:c r="N36" s="96" t="str">
        <ns0:f>IF(COUNT(N37:N54)=18,MAX(N37:N54),"")</ns0:f>
      </ns0:c>
      <ns0:c r="O36" s="96" t="str">
        <ns0:f>IF(COUNT(O37:O54)=18,MAX(O37:O54),"")</ns0:f>
      </ns0:c>
      <ns0:c r="S36" s="94"/>
      <ns0:c r="T36" s="94"/>
      <ns0:c r="U36" s="94"/>
      <ns0:c r="W36" s="94"/>
      <ns0:c r="X36" s="94"/>
      <ns0:c r="Y36" s="94"/>
      <ns0:c r="Z36" s="94"/>
    </ns0:row>
    <ns0:row r="37" ht="100" customHeight="1">
      <ns0:c r="A37" s="79" t="str">
        <ns0:v>P04.01</ns0:v>
      </ns0:c>
      <ns0:c r="B37" s="79" t="n">
        <ns0:v>2</ns0:v>
      </ns0:c>
      <ns0:c r="C37" s="79" t="str">
        <ns0:v>Lógica de negocio: Validar y registrar una cuenta</ns0:v>
      </ns0:c>
      <ns0:c r="D37" s="79" t="str">
        <ns0:v>RF1; DOC16; DOC17</ns0:v>
      </ns0:c>
      <ns0:c r="E37" s="79" t="str">
        <ns0:v>P02.02, P02.03, P02.06, P03.01</ns0:v>
      </ns0:c>
      <ns0:c r="F37" s="79" t="n">
        <ns0:v>1</ns0:v>
      </ns0:c>
      <ns0:c r="G37" s="79" t="str">
        <ns0:v>Implementada</ns0:v>
      </ns0:c>
      <ns0:c r="H37" s="97" t="str">
        <ns0:v>Jesús</ns0:v>
      </ns0:c>
      <ns0:c r="I37" s="98" t="n">
        <ns0:v>3</ns0:v>
      </ns0:c>
      <ns0:c r="J37" s="98" t="n">
        <ns0:v>0</ns0:v>
      </ns0:c>
      <ns0:c r="K37" s="98"/>
      <ns0:c r="L37" s="99"/>
      <ns0:c r="M37" s="99"/>
      <ns0:c r="N37" s="99"/>
      <ns0:c r="O37" s="99"/>
      <ns0:c r="P37" s="79" t="str">
        <ns0:f t="shared" si="8">IF(K37="","",K37-I37)</ns0:f>
      </ns0:c>
      <ns0:c r="Q37" s="79" t="str">
        <ns0:f t="shared" si="9">IF(OR(L37="",M37=""),"",M37-L37)</ns0:f>
      </ns0:c>
      <ns0:c r="R37" s="79" t="str">
        <ns0:f t="shared" si="10">IF(OR(N37="",O37=""),"",O37-N37)</ns0:f>
      </ns0:c>
      <ns0:c r="S37" s="79" t="str">
        <ns0:v>Trabajo existente: no se afirma un ciclo rojo histórico. Conservar/regresar las pruebas disponibles.</ns0:v>
      </ns0:c>
      <ns0:c r="T37" s="79" t="str">
        <ns0:v>Normalizar datos, detectar correo repetido y guardar usuario.</ns0:v>
      </ns0:c>
      <ns0:c r="U37" s="79" t="str">
        <ns0:v>Reutiliza users de ac48a95; no crea una nueva tabla. Longitud de contraseña y organización son criterios aplicados pendientes de ratificación. Revisar Evidencias Git, fila 21.</ns0:v>
      </ns0:c>
      <ns0:c r="V37" s="79" t="str">
        <ns0:f t="shared" si="11">IF(OR(G37="Implementada",G37="Reportada"),IF(OR(K37="",M37="",O37=""),"Faltan datos reales","Completo"),IF(G37="Parcial",IF(OR(K37="",M37=""),"Faltan horas/inicio","En curso"),"Pendiente"))</ns0:f>
        <ns0:v>Faltan datos reales</ns0:v>
      </ns0:c>
      <ns0:c r="W37" s="79" t="str">
        <ns0:v>Servicio de registro protegido.</ns0:v>
      </ns0:c>
      <ns0:c r="X37" s="79" t="str">
        <ns0:v>7a6b88f</ns0:v>
      </ns0:c>
      <ns0:c r="Y37" s="79" t="str">
        <ns0:v>Implementación y pruebas incluidas juntas en 7a6b88f</ns0:v>
      </ns0:c>
      <ns0:c r="Z37" s="79" t="str">
        <ns0:v>Evidencias Git, fila 21</ns0:v>
      </ns0:c>
    </ns0:row>
    <ns0:row r="38" ht="100" customHeight="1">
      <ns0:c r="A38" s="79" t="str">
        <ns0:v>P04.02</ns0:v>
      </ns0:c>
      <ns0:c r="B38" s="79" t="n">
        <ns0:v>2</ns0:v>
      </ns0:c>
      <ns0:c r="C38" s="79" t="str">
        <ns0:v>Interfaz de usuario: Crear formulario de registro y sus mensajes</ns0:v>
      </ns0:c>
      <ns0:c r="D38" s="79" t="str">
        <ns0:v>RF1; DOC16; DOC17</ns0:v>
      </ns0:c>
      <ns0:c r="E38" s="79" t="str">
        <ns0:v>P02.02, P02.03, P02.06, P03.01, P04.01</ns0:v>
      </ns0:c>
      <ns0:c r="F38" s="79" t="n">
        <ns0:v>2</ns0:v>
      </ns0:c>
      <ns0:c r="G38" s="79" t="str">
        <ns0:v>Implementada</ns0:v>
      </ns0:c>
      <ns0:c r="H38" s="97" t="str">
        <ns0:v>Jesús</ns0:v>
      </ns0:c>
      <ns0:c r="I38" s="98" t="n">
        <ns0:v>2</ns0:v>
      </ns0:c>
      <ns0:c r="J38" s="98" t="n">
        <ns0:v>0</ns0:v>
      </ns0:c>
      <ns0:c r="K38" s="98"/>
      <ns0:c r="L38" s="99"/>
      <ns0:c r="M38" s="99"/>
      <ns0:c r="N38" s="99"/>
      <ns0:c r="O38" s="99"/>
      <ns0:c r="P38" s="79" t="str">
        <ns0:f t="shared" si="8">IF(K38="","",K38-I38)</ns0:f>
      </ns0:c>
      <ns0:c r="Q38" s="79" t="str">
        <ns0:f t="shared" si="9">IF(OR(L38="",M38=""),"",M38-L38)</ns0:f>
      </ns0:c>
      <ns0:c r="R38" s="79" t="str">
        <ns0:f t="shared" si="10">IF(OR(N38="",O38=""),"",O38-N38)</ns0:f>
      </ns0:c>
      <ns0:c r="S38" s="79" t="str">
        <ns0:v>Trabajo existente: no se afirma un ciclo rojo histórico. Conservar/regresar las pruebas disponibles.</ns0:v>
      </ns0:c>
      <ns0:c r="T38" s="79" t="str">
        <ns0:v>Campos requeridos y errores comprensibles sin perder datos permitidos.</ns0:v>
      </ns0:c>
      <ns0:c r="U38" s="79" t="str">
        <ns0:v>Formulario real de registro; confirmación en pantalla no es verificación de correo. Revisar Evidencias Git, fila 22.</ns0:v>
      </ns0:c>
      <ns0:c r="V38" s="79" t="str">
        <ns0:f t="shared" si="11">IF(OR(G38="Implementada",G38="Reportada"),IF(OR(K38="",M38="",O38=""),"Faltan datos reales","Completo"),IF(G38="Parcial",IF(OR(K38="",M38=""),"Faltan horas/inicio","En curso"),"Pendiente"))</ns0:f>
        <ns0:v>Faltan datos reales</ns0:v>
      </ns0:c>
      <ns0:c r="W38" s="79" t="str">
        <ns0:v>Formulario de registro conectado y probado.</ns0:v>
      </ns0:c>
      <ns0:c r="X38" s="79" t="str">
        <ns0:v>7a6b88f</ns0:v>
      </ns0:c>
      <ns0:c r="Y38" s="79" t="str">
        <ns0:v>Implementación y pruebas incluidas juntas en 7a6b88f</ns0:v>
      </ns0:c>
      <ns0:c r="Z38" s="79" t="str">
        <ns0:v>Evidencias Git, fila 22</ns0:v>
      </ns0:c>
    </ns0:row>
    <ns0:row r="39" ht="100" customHeight="1">
      <ns0:c r="A39" s="79" t="str">
        <ns0:v>P04.03</ns0:v>
      </ns0:c>
      <ns0:c r="B39" s="79" t="n">
        <ns0:v>2</ns0:v>
      </ns0:c>
      <ns0:c r="C39" s="79" t="str">
        <ns0:v>Seguridad: Proteger registro y almacenamiento de contraseñas</ns0:v>
      </ns0:c>
      <ns0:c r="D39" s="79" t="str">
        <ns0:v>RF1; DOC16; DOC17</ns0:v>
      </ns0:c>
      <ns0:c r="E39" s="79" t="str">
        <ns0:v>P02.02, P02.03, P02.06, P03.01, P04.01</ns0:v>
      </ns0:c>
      <ns0:c r="F39" s="79" t="n">
        <ns0:v>1</ns0:v>
      </ns0:c>
      <ns0:c r="G39" s="79" t="str">
        <ns0:v>Implementada</ns0:v>
      </ns0:c>
      <ns0:c r="H39" s="97" t="str">
        <ns0:v>Jesús</ns0:v>
      </ns0:c>
      <ns0:c r="I39" s="98" t="n">
        <ns0:v>2</ns0:v>
      </ns0:c>
      <ns0:c r="J39" s="98" t="n">
        <ns0:v>0</ns0:v>
      </ns0:c>
      <ns0:c r="K39" s="98"/>
      <ns0:c r="L39" s="99"/>
      <ns0:c r="M39" s="99"/>
      <ns0:c r="N39" s="99"/>
      <ns0:c r="O39" s="99"/>
      <ns0:c r="P39" s="79" t="str">
        <ns0:f t="shared" si="8">IF(K39="","",K39-I39)</ns0:f>
      </ns0:c>
      <ns0:c r="Q39" s="79" t="str">
        <ns0:f t="shared" si="9">IF(OR(L39="",M39=""),"",M39-L39)</ns0:f>
      </ns0:c>
      <ns0:c r="R39" s="79" t="str">
        <ns0:f t="shared" si="10">IF(OR(N39="",O39=""),"",O39-N39)</ns0:f>
      </ns0:c>
      <ns0:c r="S39" s="79" t="str">
        <ns0:v>Trabajo existente: no se afirma un ciclo rojo histórico. Conservar/regresar las pruebas disponibles.</ns0:v>
      </ns0:c>
      <ns0:c r="T39" s="79" t="str">
        <ns0:v>Hash Argon2, CSRF y límites de solicitudes; no guardar ni mostrar clave en claro.</ns0:v>
      </ns0:c>
      <ns0:c r="U39" s="79" t="str">
        <ns0:v>CSRF y limitador local por IP. Límite en memoria no compartido entre servidores. El test del limitador es unitario, no demuestra toda la cadena HTTP de limitación. Revisar Evidencias Git, fila 21.</ns0:v>
      </ns0:c>
      <ns0:c r="V39" s="79" t="str">
        <ns0:f t="shared" si="11">IF(OR(G39="Implementada",G39="Reportada"),IF(OR(K39="",M39="",O39=""),"Faltan datos reales","Completo"),IF(G39="Parcial",IF(OR(K39="",M39=""),"Faltan horas/inicio","En curso"),"Pendiente"))</ns0:f>
        <ns0:v>Faltan datos reales</ns0:v>
      </ns0:c>
      <ns0:c r="W39" s="79" t="str">
        <ns0:v>Servicio de registro protegido.</ns0:v>
      </ns0:c>
      <ns0:c r="X39" s="79" t="str">
        <ns0:v>7a6b88f</ns0:v>
      </ns0:c>
      <ns0:c r="Y39" s="79" t="str">
        <ns0:v>Implementación y pruebas incluidas juntas en 7a6b88f</ns0:v>
      </ns0:c>
      <ns0:c r="Z39" s="79" t="str">
        <ns0:v>Evidencias Git, fila 21</ns0:v>
      </ns0:c>
    </ns0:row>
    <ns0:row r="40" ht="100" customHeight="1">
      <ns0:c r="A40" s="79" t="str">
        <ns0:v>P04.04</ns0:v>
      </ns0:c>
      <ns0:c r="B40" s="79" t="n">
        <ns0:v>2</ns0:v>
      </ns0:c>
      <ns0:c r="C40" s="79" t="str">
        <ns0:v>Integración: Verificar registro desde formulario hasta PostgreSQL</ns0:v>
      </ns0:c>
      <ns0:c r="D40" s="79" t="str">
        <ns0:v>RF1; DOC16; DOC17</ns0:v>
      </ns0:c>
      <ns0:c r="E40" s="79" t="str">
        <ns0:v>P02.02, P02.03, P02.06, P03.01, P04.01, P04.02, P04.03</ns0:v>
      </ns0:c>
      <ns0:c r="F40" s="79" t="n">
        <ns0:v>2</ns0:v>
      </ns0:c>
      <ns0:c r="G40" s="79" t="str">
        <ns0:v>Implementada</ns0:v>
      </ns0:c>
      <ns0:c r="H40" s="97" t="str">
        <ns0:v>Jesús</ns0:v>
      </ns0:c>
      <ns0:c r="I40" s="98" t="n">
        <ns0:v>1</ns0:v>
      </ns0:c>
      <ns0:c r="J40" s="98" t="n">
        <ns0:v>0</ns0:v>
      </ns0:c>
      <ns0:c r="K40" s="98"/>
      <ns0:c r="L40" s="99"/>
      <ns0:c r="M40" s="99"/>
      <ns0:c r="N40" s="99"/>
      <ns0:c r="O40" s="99"/>
      <ns0:c r="P40" s="79" t="str">
        <ns0:f t="shared" si="8">IF(K40="","",K40-I40)</ns0:f>
      </ns0:c>
      <ns0:c r="Q40" s="79" t="str">
        <ns0:f t="shared" si="9">IF(OR(L40="",M40=""),"",M40-L40)</ns0:f>
      </ns0:c>
      <ns0:c r="R40" s="79" t="str">
        <ns0:f t="shared" si="10">IF(OR(N40="",O40=""),"",O40-N40)</ns0:f>
      </ns0:c>
      <ns0:c r="S40" s="79" t="str">
        <ns0:v>Trabajo existente: no se afirma un ciclo rojo histórico. Conservar/regresar las pruebas disponibles.</ns0:v>
      </ns0:c>
      <ns0:c r="T40" s="79" t="str">
        <ns0:v>Alta válida y casos inválidos con pruebas automatizadas.</ns0:v>
      </ns0:c>
      <ns0:c r="U40" s="79" t="str">
        <ns0:v>Pruebas con usuarios temporales y PostgreSQL real de test/e2e; no son pruebas unitarias. Revisar Evidencias Git, fila 22.</ns0:v>
      </ns0:c>
      <ns0:c r="V40" s="79" t="str">
        <ns0:f t="shared" si="11">IF(OR(G40="Implementada",G40="Reportada"),IF(OR(K40="",M40="",O40=""),"Faltan datos reales","Completo"),IF(G40="Parcial",IF(OR(K40="",M40=""),"Faltan horas/inicio","En curso"),"Pendiente"))</ns0:f>
        <ns0:v>Faltan datos reales</ns0:v>
      </ns0:c>
      <ns0:c r="W40" s="79" t="str">
        <ns0:v>Formulario de registro conectado y probado.</ns0:v>
      </ns0:c>
      <ns0:c r="X40" s="79" t="str">
        <ns0:v>7a6b88f</ns0:v>
      </ns0:c>
      <ns0:c r="Y40" s="79" t="str">
        <ns0:v>Implementación y pruebas incluidas juntas en 7a6b88f</ns0:v>
      </ns0:c>
      <ns0:c r="Z40" s="79" t="str">
        <ns0:v>Evidencias Git, fila 22</ns0:v>
      </ns0:c>
    </ns0:row>
    <ns0:row r="41" ht="100" customHeight="1">
      <ns0:c r="A41" s="79" t="str">
        <ns0:v>P04.05</ns0:v>
      </ns0:c>
      <ns0:c r="B41" s="79" t="n">
        <ns0:v>2</ns0:v>
      </ns0:c>
      <ns0:c r="C41" s="79" t="str">
        <ns0:v>Lógica de negocio: Comprobar credenciales e iniciar/cerrar sesión</ns0:v>
      </ns0:c>
      <ns0:c r="D41" s="79" t="str">
        <ns0:v>RF2; DOC17; DOC20</ns0:v>
      </ns0:c>
      <ns0:c r="E41" s="79" t="str">
        <ns0:v>P04.01, P04.02, P04.03, P04.04, P02.04, P02.05</ns0:v>
      </ns0:c>
      <ns0:c r="F41" s="79" t="n">
        <ns0:v>3</ns0:v>
      </ns0:c>
      <ns0:c r="G41" s="79" t="str">
        <ns0:v>Implementada</ns0:v>
      </ns0:c>
      <ns0:c r="H41" s="97" t="str">
        <ns0:v>Jesús</ns0:v>
      </ns0:c>
      <ns0:c r="I41" s="98" t="n">
        <ns0:v>2</ns0:v>
      </ns0:c>
      <ns0:c r="J41" s="98" t="n">
        <ns0:v>0</ns0:v>
      </ns0:c>
      <ns0:c r="K41" s="98"/>
      <ns0:c r="L41" s="99"/>
      <ns0:c r="M41" s="99"/>
      <ns0:c r="N41" s="99"/>
      <ns0:c r="O41" s="99"/>
      <ns0:c r="P41" s="79" t="str">
        <ns0:f t="shared" si="8">IF(K41="","",K41-I41)</ns0:f>
      </ns0:c>
      <ns0:c r="Q41" s="79" t="str">
        <ns0:f t="shared" si="9">IF(OR(L41="",M41=""),"",M41-L41)</ns0:f>
      </ns0:c>
      <ns0:c r="R41" s="79" t="str">
        <ns0:f t="shared" si="10">IF(OR(N41="",O41=""),"",O41-N41)</ns0:f>
      </ns0:c>
      <ns0:c r="S41" s="79" t="str">
        <ns0:v>Trabajo existente: no se afirma un ciclo rojo histórico. Conservar/regresar las pruebas disponibles.</ns0:v>
      </ns0:c>
      <ns0:c r="T41" s="79" t="str">
        <ns0:v>Acceso válido y cierre invalidan o crean la sesión correspondiente.</ns0:v>
      </ns0:c>
      <ns0:c r="U41" s="79" t="str">
        <ns0:v>Sesiones base ya existían en 68960da; las pruebas anteriores simulaban identidad, no registro real. Revisar Evidencias Git, fila 23.</ns0:v>
      </ns0:c>
      <ns0:c r="V41" s="79" t="str">
        <ns0:f t="shared" si="11">IF(OR(G41="Implementada",G41="Reportada"),IF(OR(K41="",M41="",O41=""),"Faltan datos reales","Completo"),IF(G41="Parcial",IF(OR(K41="",M41=""),"Faltan horas/inicio","En curso"),"Pendiente"))</ns0:f>
        <ns0:v>Faltan datos reales</ns0:v>
      </ns0:c>
      <ns0:c r="W41" s="79" t="str">
        <ns0:v>Servicio de acceso y salida con protección de sesión.</ns0:v>
      </ns0:c>
      <ns0:c r="X41" s="79" t="str">
        <ns0:v>7a6b88f</ns0:v>
      </ns0:c>
      <ns0:c r="Y41" s="79" t="str">
        <ns0:v>Flujo con credenciales reales disponible en 7a6b88f</ns0:v>
      </ns0:c>
      <ns0:c r="Z41" s="79" t="str">
        <ns0:v>Evidencias Git, fila 23</ns0:v>
      </ns0:c>
    </ns0:row>
    <ns0:row r="42" ht="100" customHeight="1">
      <ns0:c r="A42" s="79" t="str">
        <ns0:v>P04.06</ns0:v>
      </ns0:c>
      <ns0:c r="B42" s="79" t="n">
        <ns0:v>2</ns0:v>
      </ns0:c>
      <ns0:c r="C42" s="79" t="str">
        <ns0:v>Interfaz de usuario: Mostrar formulario de acceso y salida de sesión</ns0:v>
      </ns0:c>
      <ns0:c r="D42" s="79" t="str">
        <ns0:v>RF2; DOC17; DOC20</ns0:v>
      </ns0:c>
      <ns0:c r="E42" s="79" t="str">
        <ns0:v>P04.01, P04.02, P04.03, P04.04, P02.04, P02.05, P04.05</ns0:v>
      </ns0:c>
      <ns0:c r="F42" s="79" t="n">
        <ns0:v>4</ns0:v>
      </ns0:c>
      <ns0:c r="G42" s="79" t="str">
        <ns0:v>Implementada</ns0:v>
      </ns0:c>
      <ns0:c r="H42" s="97" t="str">
        <ns0:v>Jesús</ns0:v>
      </ns0:c>
      <ns0:c r="I42" s="98" t="n">
        <ns0:v>1</ns0:v>
      </ns0:c>
      <ns0:c r="J42" s="98" t="n">
        <ns0:v>0</ns0:v>
      </ns0:c>
      <ns0:c r="K42" s="98"/>
      <ns0:c r="L42" s="99"/>
      <ns0:c r="M42" s="99"/>
      <ns0:c r="N42" s="99"/>
      <ns0:c r="O42" s="99"/>
      <ns0:c r="P42" s="79" t="str">
        <ns0:f t="shared" si="8">IF(K42="","",K42-I42)</ns0:f>
      </ns0:c>
      <ns0:c r="Q42" s="79" t="str">
        <ns0:f t="shared" si="9">IF(OR(L42="",M42=""),"",M42-L42)</ns0:f>
      </ns0:c>
      <ns0:c r="R42" s="79" t="str">
        <ns0:f t="shared" si="10">IF(OR(N42="",O42=""),"",O42-N42)</ns0:f>
      </ns0:c>
      <ns0:c r="S42" s="79" t="str">
        <ns0:v>Trabajo existente: no se afirma un ciclo rojo histórico. Conservar/regresar las pruebas disponibles.</ns0:v>
      </ns0:c>
      <ns0:c r="T42" s="79" t="str">
        <ns0:v>Navegación y mensajes de acceso y salida correctos.</ns0:v>
      </ns0:c>
      <ns0:c r="U42" s="79" t="str">
        <ns0:v>Entrada desde portada, errores y salida al acceso. No incluye perfil ni recuperación. Revisar Evidencias Git, fila 24.</ns0:v>
      </ns0:c>
      <ns0:c r="V42" s="79" t="str">
        <ns0:f t="shared" si="11">IF(OR(G42="Implementada",G42="Reportada"),IF(OR(K42="",M42="",O42=""),"Faltan datos reales","Completo"),IF(G42="Parcial",IF(OR(K42="",M42=""),"Faltan horas/inicio","En curso"),"Pendiente"))</ns0:f>
        <ns0:v>Faltan datos reales</ns0:v>
      </ns0:c>
      <ns0:c r="W42" s="79" t="str">
        <ns0:v>Acceso y salida completos en navegador.</ns0:v>
      </ns0:c>
      <ns0:c r="X42" s="79" t="str">
        <ns0:v>7a6b88f</ns0:v>
      </ns0:c>
      <ns0:c r="Y42" s="79" t="str">
        <ns0:v>Implementación y pruebas incluidas juntas en 7a6b88f</ns0:v>
      </ns0:c>
      <ns0:c r="Z42" s="79" t="str">
        <ns0:v>Evidencias Git, fila 24</ns0:v>
      </ns0:c>
    </ns0:row>
    <ns0:row r="43" ht="100" customHeight="1">
      <ns0:c r="A43" s="79" t="str">
        <ns0:v>P04.07</ns0:v>
      </ns0:c>
      <ns0:c r="B43" s="79" t="n">
        <ns0:v>2</ns0:v>
      </ns0:c>
      <ns0:c r="C43" s="79" t="str">
        <ns0:v>Seguridad: Proteger credenciales y renovar sesión al acceder</ns0:v>
      </ns0:c>
      <ns0:c r="D43" s="79" t="str">
        <ns0:v>RF2; DOC17; DOC20</ns0:v>
      </ns0:c>
      <ns0:c r="E43" s="79" t="str">
        <ns0:v>P04.01, P04.02, P04.03, P04.04, P02.04, P02.05, P04.05</ns0:v>
      </ns0:c>
      <ns0:c r="F43" s="79" t="n">
        <ns0:v>3</ns0:v>
      </ns0:c>
      <ns0:c r="G43" s="79" t="str">
        <ns0:v>Implementada</ns0:v>
      </ns0:c>
      <ns0:c r="H43" s="97" t="str">
        <ns0:v>Jesús</ns0:v>
      </ns0:c>
      <ns0:c r="I43" s="98" t="n">
        <ns0:v>1</ns0:v>
      </ns0:c>
      <ns0:c r="J43" s="98" t="n">
        <ns0:v>0</ns0:v>
      </ns0:c>
      <ns0:c r="K43" s="98"/>
      <ns0:c r="L43" s="99"/>
      <ns0:c r="M43" s="99"/>
      <ns0:c r="N43" s="99"/>
      <ns0:c r="O43" s="99"/>
      <ns0:c r="P43" s="79" t="str">
        <ns0:f t="shared" si="8">IF(K43="","",K43-I43)</ns0:f>
      </ns0:c>
      <ns0:c r="Q43" s="79" t="str">
        <ns0:f t="shared" si="9">IF(OR(L43="",M43=""),"",M43-L43)</ns0:f>
      </ns0:c>
      <ns0:c r="R43" s="79" t="str">
        <ns0:f t="shared" si="10">IF(OR(N43="",O43=""),"",O43-N43)</ns0:f>
      </ns0:c>
      <ns0:c r="S43" s="79" t="str">
        <ns0:v>Trabajo existente: no se afirma un ciclo rojo histórico. Conservar/regresar las pruebas disponibles.</ns0:v>
      </ns0:c>
      <ns0:c r="T43" s="79" t="str">
        <ns0:v>Errores sin revelar cuentas; cookie y sesión renovadas.</ns0:v>
      </ns0:c>
      <ns0:c r="U43" s="79" t="str">
        <ns0:v>Renovación de sesión existía en 68960da; 7a6b88f conecta credenciales, CSRF y protección del acceso. Revisar Evidencias Git, fila 23.</ns0:v>
      </ns0:c>
      <ns0:c r="V43" s="79" t="str">
        <ns0:f t="shared" si="11">IF(OR(G43="Implementada",G43="Reportada"),IF(OR(K43="",M43="",O43=""),"Faltan datos reales","Completo"),IF(G43="Parcial",IF(OR(K43="",M43=""),"Faltan horas/inicio","En curso"),"Pendiente"))</ns0:f>
        <ns0:v>Faltan datos reales</ns0:v>
      </ns0:c>
      <ns0:c r="W43" s="79" t="str">
        <ns0:v>Servicio de acceso y salida con protección de sesión.</ns0:v>
      </ns0:c>
      <ns0:c r="X43" s="79" t="str">
        <ns0:v>68960da, c3c9b39, 7a6b88f</ns0:v>
      </ns0:c>
      <ns0:c r="Y43" s="79" t="str">
        <ns0:v>Protección del flujo real completada en 7a6b88f</ns0:v>
      </ns0:c>
      <ns0:c r="Z43" s="79" t="str">
        <ns0:v>Evidencias Git, fila 23</ns0:v>
      </ns0:c>
    </ns0:row>
    <ns0:row r="44" ht="100" customHeight="1">
      <ns0:c r="A44" s="79" t="str">
        <ns0:v>P04.08</ns0:v>
      </ns0:c>
      <ns0:c r="B44" s="79" t="n">
        <ns0:v>2</ns0:v>
      </ns0:c>
      <ns0:c r="C44" s="79" t="str">
        <ns0:v>Integración: Verificar acceso y salida con sesión persistente</ns0:v>
      </ns0:c>
      <ns0:c r="D44" s="79" t="str">
        <ns0:v>RF2; DOC17; DOC20</ns0:v>
      </ns0:c>
      <ns0:c r="E44" s="79" t="str">
        <ns0:v>P04.01, P04.02, P04.03, P04.04, P02.04, P02.05, P04.05, P04.06, P04.07</ns0:v>
      </ns0:c>
      <ns0:c r="F44" s="79" t="n">
        <ns0:v>4</ns0:v>
      </ns0:c>
      <ns0:c r="G44" s="79" t="str">
        <ns0:v>Implementada</ns0:v>
      </ns0:c>
      <ns0:c r="H44" s="97" t="str">
        <ns0:v>Jesús</ns0:v>
      </ns0:c>
      <ns0:c r="I44" s="98" t="n">
        <ns0:v>1</ns0:v>
      </ns0:c>
      <ns0:c r="J44" s="98" t="n">
        <ns0:v>0</ns0:v>
      </ns0:c>
      <ns0:c r="K44" s="98"/>
      <ns0:c r="L44" s="99"/>
      <ns0:c r="M44" s="99"/>
      <ns0:c r="N44" s="99"/>
      <ns0:c r="O44" s="99"/>
      <ns0:c r="P44" s="79" t="str">
        <ns0:f t="shared" si="8">IF(K44="","",K44-I44)</ns0:f>
      </ns0:c>
      <ns0:c r="Q44" s="79" t="str">
        <ns0:f t="shared" si="9">IF(OR(L44="",M44=""),"",M44-L44)</ns0:f>
      </ns0:c>
      <ns0:c r="R44" s="79" t="str">
        <ns0:f t="shared" si="10">IF(OR(N44="",O44=""),"",O44-N44)</ns0:f>
      </ns0:c>
      <ns0:c r="S44" s="79" t="str">
        <ns0:v>Trabajo existente: no se afirma un ciclo rojo histórico. Conservar/regresar las pruebas disponibles.</ns0:v>
      </ns0:c>
      <ns0:c r="T44" s="79" t="str">
        <ns0:v>Acceso válido, rechazo de clave incorrecta y salida en navegador.</ns0:v>
      </ns0:c>
      <ns0:c r="U44" s="79" t="str">
        <ns0:v>Comprueba registro, acceso, recarga y salida. El documento describe TDD; no se versionaron registros rojo/verde de ejecución. Revisar Evidencias Git, fila 24.</ns0:v>
      </ns0:c>
      <ns0:c r="V44" s="79" t="str">
        <ns0:f t="shared" si="11">IF(OR(G44="Implementada",G44="Reportada"),IF(OR(K44="",M44="",O44=""),"Faltan datos reales","Completo"),IF(G44="Parcial",IF(OR(K44="",M44=""),"Faltan horas/inicio","En curso"),"Pendiente"))</ns0:f>
        <ns0:v>Faltan datos reales</ns0:v>
      </ns0:c>
      <ns0:c r="W44" s="79" t="str">
        <ns0:v>Acceso y salida completos en navegador.</ns0:v>
      </ns0:c>
      <ns0:c r="X44" s="79" t="str">
        <ns0:v>7a6b88f</ns0:v>
      </ns0:c>
      <ns0:c r="Y44" s="79" t="str">
        <ns0:v>Implementación y pruebas incluidas juntas en 7a6b88f</ns0:v>
      </ns0:c>
      <ns0:c r="Z44" s="79" t="str">
        <ns0:v>Evidencias Git, fila 24</ns0:v>
      </ns0:c>
    </ns0:row>
    <ns0:row r="45" ht="100" customHeight="1">
      <ns0:c r="A45" s="79" t="str">
        <ns0:v>P04.09</ns0:v>
      </ns0:c>
      <ns0:c r="B45" s="79" t="n">
        <ns0:v>2</ns0:v>
      </ns0:c>
      <ns0:c r="C45" s="79" t="str">
        <ns0:v>Lógica de negocio: Cambiar contraseña verificando la actual</ns0:v>
      </ns0:c>
      <ns0:c r="D45" s="79" t="str">
        <ns0:v>RF4; DOC17</ns0:v>
      </ns0:c>
      <ns0:c r="E45" s="79" t="str">
        <ns0:v>P04.05, P04.06, P04.07, P04.08, P01.06</ns0:v>
      </ns0:c>
      <ns0:c r="F45" s="79" t="n">
        <ns0:v>5</ns0:v>
      </ns0:c>
      <ns0:c r="G45" s="79" t="str">
        <ns0:v>Pendiente</ns0:v>
      </ns0:c>
      <ns0:c r="H45" s="97" t="str">
        <ns0:v>Alvaro</ns0:v>
      </ns0:c>
      <ns0:c r="I45" s="98" t="n">
        <ns0:v>2</ns0:v>
      </ns0:c>
      <ns0:c r="J45" s="98" t="n">
        <ns0:v>2</ns0:v>
      </ns0:c>
      <ns0:c r="K45" s="98"/>
      <ns0:c r="L45" s="99"/>
      <ns0:c r="M45" s="99"/>
      <ns0:c r="N45" s="99"/>
      <ns0:c r="O45" s="99"/>
      <ns0:c r="P45" s="79" t="str">
        <ns0:f t="shared" si="8">IF(K45="","",K45-I45)</ns0:f>
      </ns0:c>
      <ns0:c r="Q45" s="79" t="str">
        <ns0:f t="shared" si="9">IF(OR(L45="",M45=""),"",M45-L45)</ns0:f>
      </ns0:c>
      <ns0:c r="R45" s="79" t="str">
        <ns0:f t="shared" si="10">IF(OR(N45="",O45=""),"",O45-N45)</ns0:f>
      </ns0:c>
      <ns0:c r="S45" s="79" t="str">
        <ns0:v>Rojo: caso que demuestre el fallo del criterio. Verde: implementar y ejecutar la prueba. Refactorizar sin perder el verde. Unitarias de reglas e integración donde corresponda.</ns0:v>
      </ns0:c>
      <ns0:c r="T45" s="79" t="str">
        <ns0:v>Validar clave actual y guardar hash de la nueva.</ns0:v>
      </ns0:c>
      <ns0:c r="U45" s="79" t="str">
        <ns0:v>Word 4. Referencia del plan anterior: P04.03.</ns0:v>
      </ns0:c>
      <ns0:c r="V45" s="79" t="str">
        <ns0:f t="shared" si="11">IF(OR(G45="Implementada",G45="Reportada"),IF(OR(K45="",M45="",O45=""),"Faltan datos reales","Completo"),IF(G45="Parcial",IF(OR(K45="",M45=""),"Faltan horas/inicio","En curso"),"Pendiente"))</ns0:f>
        <ns0:v>Pendiente</ns0:v>
      </ns0:c>
      <ns0:c r="W45" s="79" t="str">
        <ns0:v>Servicio seguro de cambio de contraseña.</ns0:v>
      </ns0:c>
      <ns0:c r="X45" s="79"/>
      <ns0:c r="Y45" s="79" t="str">
        <ns0:v>Pendiente: sin implementación atribuible.</ns0:v>
      </ns0:c>
      <ns0:c r="Z45" s="79" t="str">
        <ns0:v>Evidencias Git, fila 25</ns0:v>
      </ns0:c>
    </ns0:row>
    <ns0:row r="46" ht="100" customHeight="1">
      <ns0:c r="A46" s="79" t="str">
        <ns0:v>P04.10</ns0:v>
      </ns0:c>
      <ns0:c r="B46" s="79" t="n">
        <ns0:v>2</ns0:v>
      </ns0:c>
      <ns0:c r="C46" s="79" t="str">
        <ns0:v>Interfaz de usuario: Crear formulario de cambio de contraseña</ns0:v>
      </ns0:c>
      <ns0:c r="D46" s="79" t="str">
        <ns0:v>RF4; DOC17</ns0:v>
      </ns0:c>
      <ns0:c r="E46" s="79" t="str">
        <ns0:v>P04.05, P04.06, P04.07, P04.08, P01.06, P04.09</ns0:v>
      </ns0:c>
      <ns0:c r="F46" s="79" t="n">
        <ns0:v>6</ns0:v>
      </ns0:c>
      <ns0:c r="G46" s="79" t="str">
        <ns0:v>Pendiente</ns0:v>
      </ns0:c>
      <ns0:c r="H46" s="97" t="str">
        <ns0:v>Iñigo</ns0:v>
      </ns0:c>
      <ns0:c r="I46" s="98" t="n">
        <ns0:v>1</ns0:v>
      </ns0:c>
      <ns0:c r="J46" s="98" t="n">
        <ns0:v>1</ns0:v>
      </ns0:c>
      <ns0:c r="K46" s="98"/>
      <ns0:c r="L46" s="99"/>
      <ns0:c r="M46" s="99"/>
      <ns0:c r="N46" s="99"/>
      <ns0:c r="O46" s="99"/>
      <ns0:c r="P46" s="79" t="str">
        <ns0:f t="shared" si="8">IF(K46="","",K46-I46)</ns0:f>
      </ns0:c>
      <ns0:c r="Q46" s="79" t="str">
        <ns0:f t="shared" si="9">IF(OR(L46="",M46=""),"",M46-L46)</ns0:f>
      </ns0:c>
      <ns0:c r="R46" s="79" t="str">
        <ns0:f t="shared" si="10">IF(OR(N46="",O46=""),"",O46-N46)</ns0:f>
      </ns0:c>
      <ns0:c r="S46" s="79" t="str">
        <ns0:v>Rojo: caso que demuestre el fallo del criterio. Verde: implementar y ejecutar la prueba. Refactorizar sin perder el verde. Pruebas de interacción y validación de interfaz.</ns0:v>
      </ns0:c>
      <ns0:c r="T46" s="79" t="str">
        <ns0:v>Validación y confirmación de cambio.</ns0:v>
      </ns0:c>
      <ns0:c r="U46" s="79" t="str">
        <ns0:v>Word 4. Referencia del plan anterior: P04.03.</ns0:v>
      </ns0:c>
      <ns0:c r="V46" s="79" t="str">
        <ns0:f t="shared" si="11">IF(OR(G46="Implementada",G46="Reportada"),IF(OR(K46="",M46="",O46=""),"Faltan datos reales","Completo"),IF(G46="Parcial",IF(OR(K46="",M46=""),"Faltan horas/inicio","En curso"),"Pendiente"))</ns0:f>
        <ns0:v>Pendiente</ns0:v>
      </ns0:c>
      <ns0:c r="W46" s="79" t="str">
        <ns0:v>Cambio de contraseña desde formulario.</ns0:v>
      </ns0:c>
      <ns0:c r="X46" s="79"/>
      <ns0:c r="Y46" s="79" t="str">
        <ns0:v>Pendiente: sin implementación atribuible.</ns0:v>
      </ns0:c>
      <ns0:c r="Z46" s="79" t="str">
        <ns0:v>Evidencias Git, fila 26</ns0:v>
      </ns0:c>
    </ns0:row>
    <ns0:row r="47" ht="100" customHeight="1">
      <ns0:c r="A47" s="79" t="str">
        <ns0:v>P04.11</ns0:v>
      </ns0:c>
      <ns0:c r="B47" s="79" t="n">
        <ns0:v>2</ns0:v>
      </ns0:c>
      <ns0:c r="C47" s="79" t="str">
        <ns0:v>Seguridad: Proteger el cambio de contraseña</ns0:v>
      </ns0:c>
      <ns0:c r="D47" s="79" t="str">
        <ns0:v>RF4; DOC17</ns0:v>
      </ns0:c>
      <ns0:c r="E47" s="79" t="str">
        <ns0:v>P04.05, P04.06, P04.07, P04.08, P01.06, P04.09</ns0:v>
      </ns0:c>
      <ns0:c r="F47" s="79" t="n">
        <ns0:v>5</ns0:v>
      </ns0:c>
      <ns0:c r="G47" s="79" t="str">
        <ns0:v>Pendiente</ns0:v>
      </ns0:c>
      <ns0:c r="H47" s="97" t="str">
        <ns0:v>Gonzalo</ns0:v>
      </ns0:c>
      <ns0:c r="I47" s="98" t="n">
        <ns0:v>1</ns0:v>
      </ns0:c>
      <ns0:c r="J47" s="98" t="n">
        <ns0:v>1</ns0:v>
      </ns0:c>
      <ns0:c r="K47" s="98"/>
      <ns0:c r="L47" s="99"/>
      <ns0:c r="M47" s="99"/>
      <ns0:c r="N47" s="99"/>
      <ns0:c r="O47" s="99"/>
      <ns0:c r="P47" s="79" t="str">
        <ns0:f t="shared" si="8">IF(K47="","",K47-I47)</ns0:f>
      </ns0:c>
      <ns0:c r="Q47" s="79" t="str">
        <ns0:f t="shared" si="9">IF(OR(L47="",M47=""),"",M47-L47)</ns0:f>
      </ns0:c>
      <ns0:c r="R47" s="79" t="str">
        <ns0:f t="shared" si="10">IF(OR(N47="",O47=""),"",O47-N47)</ns0:f>
      </ns0:c>
      <ns0:c r="S47" s="79" t="str">
        <ns0:v>Rojo: caso que demuestre el fallo del criterio. Verde: implementar y ejecutar la prueba. Refactorizar sin perder el verde. Casos autorizados y ataques/accesos rechazados.</ns0:v>
      </ns0:c>
      <ns0:c r="T47" s="79" t="str">
        <ns0:v>Solo usuario autenticado y petición protegida; no exponer claves.</ns0:v>
      </ns0:c>
      <ns0:c r="U47" s="79" t="str">
        <ns0:v>Word 4. Referencia del plan anterior: P04.03.</ns0:v>
      </ns0:c>
      <ns0:c r="V47" s="79" t="str">
        <ns0:f t="shared" si="11">IF(OR(G47="Implementada",G47="Reportada"),IF(OR(K47="",M47="",O47=""),"Faltan datos reales","Completo"),IF(G47="Parcial",IF(OR(K47="",M47=""),"Faltan horas/inicio","En curso"),"Pendiente"))</ns0:f>
        <ns0:v>Pendiente</ns0:v>
      </ns0:c>
      <ns0:c r="W47" s="79" t="str">
        <ns0:v>Servicio seguro de cambio de contraseña.</ns0:v>
      </ns0:c>
      <ns0:c r="X47" s="79"/>
      <ns0:c r="Y47" s="79" t="str">
        <ns0:v>Pendiente: sin implementación atribuible.</ns0:v>
      </ns0:c>
      <ns0:c r="Z47" s="79" t="str">
        <ns0:v>Evidencias Git, fila 25</ns0:v>
      </ns0:c>
    </ns0:row>
    <ns0:row r="48" ht="100" customHeight="1">
      <ns0:c r="A48" s="79" t="str">
        <ns0:v>P04.12</ns0:v>
      </ns0:c>
      <ns0:c r="B48" s="79" t="n">
        <ns0:v>2</ns0:v>
      </ns0:c>
      <ns0:c r="C48" s="79" t="str">
        <ns0:v>Integración: Comprobar acceso tras cambiar contraseña</ns0:v>
      </ns0:c>
      <ns0:c r="D48" s="79" t="str">
        <ns0:v>RF4; DOC17</ns0:v>
      </ns0:c>
      <ns0:c r="E48" s="79" t="str">
        <ns0:v>P04.05, P04.06, P04.07, P04.08, P01.06, P04.09, P04.10, P04.11</ns0:v>
      </ns0:c>
      <ns0:c r="F48" s="79" t="n">
        <ns0:v>6</ns0:v>
      </ns0:c>
      <ns0:c r="G48" s="79" t="str">
        <ns0:v>Pendiente</ns0:v>
      </ns0:c>
      <ns0:c r="H48" s="97" t="str">
        <ns0:v>Alejandro</ns0:v>
      </ns0:c>
      <ns0:c r="I48" s="98" t="n">
        <ns0:v>1</ns0:v>
      </ns0:c>
      <ns0:c r="J48" s="98" t="n">
        <ns0:v>1</ns0:v>
      </ns0:c>
      <ns0:c r="K48" s="98"/>
      <ns0:c r="L48" s="99"/>
      <ns0:c r="M48" s="99"/>
      <ns0:c r="N48" s="99"/>
      <ns0:c r="O48" s="99"/>
      <ns0:c r="P48" s="79" t="str">
        <ns0:f t="shared" si="8">IF(K48="","",K48-I48)</ns0:f>
      </ns0:c>
      <ns0:c r="Q48" s="79" t="str">
        <ns0:f t="shared" si="9">IF(OR(L48="",M48=""),"",M48-L48)</ns0:f>
      </ns0:c>
      <ns0:c r="R48" s="79" t="str">
        <ns0:f t="shared" si="10">IF(OR(N48="",O48=""),"",O48-N48)</ns0:f>
      </ns0:c>
      <ns0:c r="S48" s="79" t="str">
        <ns0:v>Rojo: caso que demuestre el fallo del criterio. Verde: implementar y ejecutar la prueba. Refactorizar sin perder el verde. Comprobar componentes conectados y flujo E2E pertinente.</ns0:v>
      </ns0:c>
      <ns0:c r="T48" s="79" t="str">
        <ns0:v>Nueva clave válida y anterior rechazada.</ns0:v>
      </ns0:c>
      <ns0:c r="U48" s="79" t="str">
        <ns0:v>Word 4. Referencia del plan anterior: P04.03.</ns0:v>
      </ns0:c>
      <ns0:c r="V48" s="79" t="str">
        <ns0:f t="shared" si="11">IF(OR(G48="Implementada",G48="Reportada"),IF(OR(K48="",M48="",O48=""),"Faltan datos reales","Completo"),IF(G48="Parcial",IF(OR(K48="",M48=""),"Faltan horas/inicio","En curso"),"Pendiente"))</ns0:f>
        <ns0:v>Pendiente</ns0:v>
      </ns0:c>
      <ns0:c r="W48" s="79" t="str">
        <ns0:v>Cambio de contraseña desde formulario.</ns0:v>
      </ns0:c>
      <ns0:c r="X48" s="79"/>
      <ns0:c r="Y48" s="79" t="str">
        <ns0:v>Pendiente: sin implementación atribuible.</ns0:v>
      </ns0:c>
      <ns0:c r="Z48" s="79" t="str">
        <ns0:v>Evidencias Git, fila 26</ns0:v>
      </ns0:c>
    </ns0:row>
    <ns0:row r="49" ht="100" customHeight="1">
      <ns0:c r="A49" s="79" t="str">
        <ns0:v>P04.13</ns0:v>
      </ns0:c>
      <ns0:c r="B49" s="79" t="n">
        <ns0:v>2</ns0:v>
      </ns0:c>
      <ns0:c r="C49" s="79" t="str">
        <ns0:v>Base de datos: Persistir tokens de recuperación con caducidad</ns0:v>
      </ns0:c>
      <ns0:c r="D49" s="79" t="str">
        <ns0:v>RF4; DOC17; DOC19</ns0:v>
      </ns0:c>
      <ns0:c r="E49" s="79" t="str">
        <ns0:v>P04.01, P04.02, P04.03, P04.04, P01.06</ns0:v>
      </ns0:c>
      <ns0:c r="F49" s="79" t="n">
        <ns0:v>7</ns0:v>
      </ns0:c>
      <ns0:c r="G49" s="79" t="str">
        <ns0:v>Pendiente</ns0:v>
      </ns0:c>
      <ns0:c r="H49" s="97" t="str">
        <ns0:v>Jorge</ns0:v>
      </ns0:c>
      <ns0:c r="I49" s="98" t="n">
        <ns0:v>2</ns0:v>
      </ns0:c>
      <ns0:c r="J49" s="98" t="n">
        <ns0:v>2</ns0:v>
      </ns0:c>
      <ns0:c r="K49" s="98"/>
      <ns0:c r="L49" s="99"/>
      <ns0:c r="M49" s="99"/>
      <ns0:c r="N49" s="99"/>
      <ns0:c r="O49" s="99"/>
      <ns0:c r="P49" s="79" t="str">
        <ns0:f>IF(K49="","",K49-I49)</ns0:f>
      </ns0:c>
      <ns0:c r="Q49" s="79" t="str">
        <ns0:f>IF(OR(L49="",M49=""),"",M49-L49)</ns0:f>
      </ns0:c>
      <ns0:c r="R49" s="79" t="str">
        <ns0:f>IF(OR(N49="",O49=""),"",O49-N49)</ns0:f>
      </ns0:c>
      <ns0:c r="S49" s="79" t="str">
        <ns0:v>Rojo: caso que demuestre el fallo del criterio. Verde: implementar y ejecutar la prueba. Refactorizar sin perder el verde. Pruebas de integración contra PostgreSQL.</ns0:v>
      </ns0:c>
      <ns0:c r="T49" s="79" t="str">
        <ns0:v>Almacenar huella del token, usuario, caducidad y uso con integridad.</ns0:v>
      </ns0:c>
      <ns0:c r="U49" s="79" t="str">
        <ns0:v>Nodemailer instalado; falta flujo y configuración del proveedor. Referencia del plan anterior: P04.04.</ns0:v>
      </ns0:c>
      <ns0:c r="V49" s="79" t="str">
        <ns0:f>IF(OR(G49="Implementada",G49="Reportada"),IF(OR(K49="",M49="",O49=""),"Faltan datos reales","Completo"),IF(G49="Parcial",IF(OR(K49="",M49=""),"Faltan horas/inicio","En curso"),"Pendiente"))</ns0:f>
        <ns0:v>Pendiente</ns0:v>
      </ns0:c>
      <ns0:c r="W49" s="79" t="str">
        <ns0:v>Persistencia segura de tokens reutilizable.</ns0:v>
      </ns0:c>
      <ns0:c r="X49" s="79"/>
      <ns0:c r="Y49" s="79" t="str">
        <ns0:v>Pendiente: sin implementación atribuible.</ns0:v>
      </ns0:c>
      <ns0:c r="Z49" s="79" t="str">
        <ns0:v>Evidencias Git, fila 27</ns0:v>
      </ns0:c>
    </ns0:row>
    <ns0:row r="50" ht="100" customHeight="1">
      <ns0:c r="A50" s="79" t="str">
        <ns0:v>P04.14</ns0:v>
      </ns0:c>
      <ns0:c r="B50" s="79" t="n">
        <ns0:v>2</ns0:v>
      </ns0:c>
      <ns0:c r="C50" s="79" t="str">
        <ns0:v>Lógica de negocio: Emitir token y enviar correo de recuperación</ns0:v>
      </ns0:c>
      <ns0:c r="D50" s="79" t="str">
        <ns0:v>RF4; DOC17; DOC19</ns0:v>
      </ns0:c>
      <ns0:c r="E50" s="79" t="str">
        <ns0:v>P04.01, P04.02, P04.03, P04.04, P01.06, P04.13</ns0:v>
      </ns0:c>
      <ns0:c r="F50" s="79" t="n">
        <ns0:v>8</ns0:v>
      </ns0:c>
      <ns0:c r="G50" s="79" t="str">
        <ns0:v>Pendiente</ns0:v>
      </ns0:c>
      <ns0:c r="H50" s="97" t="str">
        <ns0:v>Jesús</ns0:v>
      </ns0:c>
      <ns0:c r="I50" s="98" t="n">
        <ns0:v>3</ns0:v>
      </ns0:c>
      <ns0:c r="J50" s="98" t="n">
        <ns0:v>3</ns0:v>
      </ns0:c>
      <ns0:c r="K50" s="98"/>
      <ns0:c r="L50" s="99"/>
      <ns0:c r="M50" s="99"/>
      <ns0:c r="N50" s="99"/>
      <ns0:c r="O50" s="99"/>
      <ns0:c r="P50" s="79" t="str">
        <ns0:f t="shared" ref="P50:P56" si="12">IF(K50="","",K50-I50)</ns0:f>
      </ns0:c>
      <ns0:c r="Q50" s="79" t="str">
        <ns0:f t="shared" ref="Q50:Q56" si="13">IF(OR(L50="",M50=""),"",M50-L50)</ns0:f>
      </ns0:c>
      <ns0:c r="R50" s="79" t="str">
        <ns0:f t="shared" ref="R50:R56" si="14">IF(OR(N50="",O50=""),"",O50-N50)</ns0:f>
      </ns0:c>
      <ns0:c r="S50" s="79" t="str">
        <ns0:v>Rojo: caso que demuestre el fallo del criterio. Verde: implementar y ejecutar la prueba. Refactorizar sin perder el verde. Unitarias de reglas e integración donde corresponda.</ns0:v>
      </ns0:c>
      <ns0:c r="T50" s="79" t="str">
        <ns0:v>Envío con enlace y gestión del error de correo.</ns0:v>
      </ns0:c>
      <ns0:c r="U50" s="79" t="str">
        <ns0:v>Nodemailer instalado; falta flujo y configuración del proveedor. Referencia del plan anterior: P04.04.</ns0:v>
      </ns0:c>
      <ns0:c r="V50" s="79" t="str">
        <ns0:f t="shared" ref="V50:V56" si="15">IF(OR(G50="Implementada",G50="Reportada"),IF(OR(K50="",M50="",O50=""),"Faltan datos reales","Completo"),IF(G50="Parcial",IF(OR(K50="",M50=""),"Faltan horas/inicio","En curso"),"Pendiente"))</ns0:f>
        <ns0:v>Pendiente</ns0:v>
      </ns0:c>
      <ns0:c r="W50" s="79" t="str">
        <ns0:v>Emisión de token y correo con protección contra abuso.</ns0:v>
      </ns0:c>
      <ns0:c r="X50" s="79"/>
      <ns0:c r="Y50" s="79" t="str">
        <ns0:v>Pendiente: sin implementación atribuible.</ns0:v>
      </ns0:c>
      <ns0:c r="Z50" s="79" t="str">
        <ns0:v>Evidencias Git, fila 28</ns0:v>
      </ns0:c>
    </ns0:row>
    <ns0:row r="51" ht="100" customHeight="1">
      <ns0:c r="A51" s="79" t="str">
        <ns0:v>P04.15</ns0:v>
      </ns0:c>
      <ns0:c r="B51" s="79" t="n">
        <ns0:v>2</ns0:v>
      </ns0:c>
      <ns0:c r="C51" s="79" t="str">
        <ns0:v>Seguridad: Limitar solicitudes y evitar revelar cuentas</ns0:v>
      </ns0:c>
      <ns0:c r="D51" s="79" t="str">
        <ns0:v>RF4; DOC17; DOC19</ns0:v>
      </ns0:c>
      <ns0:c r="E51" s="79" t="str">
        <ns0:v>P04.01, P04.02, P04.03, P04.04, P01.06, P04.13, P04.14</ns0:v>
      </ns0:c>
      <ns0:c r="F51" s="79" t="n">
        <ns0:v>8</ns0:v>
      </ns0:c>
      <ns0:c r="G51" s="79" t="str">
        <ns0:v>Pendiente</ns0:v>
      </ns0:c>
      <ns0:c r="H51" s="97" t="str">
        <ns0:v>Gonzalo</ns0:v>
      </ns0:c>
      <ns0:c r="I51" s="98" t="n">
        <ns0:v>2</ns0:v>
      </ns0:c>
      <ns0:c r="J51" s="98" t="n">
        <ns0:v>2</ns0:v>
      </ns0:c>
      <ns0:c r="K51" s="98"/>
      <ns0:c r="L51" s="99"/>
      <ns0:c r="M51" s="99"/>
      <ns0:c r="N51" s="99"/>
      <ns0:c r="O51" s="99"/>
      <ns0:c r="P51" s="79" t="str">
        <ns0:f t="shared" si="12">IF(K51="","",K51-I51)</ns0:f>
      </ns0:c>
      <ns0:c r="Q51" s="79" t="str">
        <ns0:f t="shared" si="13">IF(OR(L51="",M51=""),"",M51-L51)</ns0:f>
      </ns0:c>
      <ns0:c r="R51" s="79" t="str">
        <ns0:f t="shared" si="14">IF(OR(N51="",O51=""),"",O51-N51)</ns0:f>
      </ns0:c>
      <ns0:c r="S51" s="79" t="str">
        <ns0:v>Rojo: caso que demuestre el fallo del criterio. Verde: implementar y ejecutar la prueba. Refactorizar sin perder el verde. Casos autorizados y ataques/accesos rechazados.</ns0:v>
      </ns0:c>
      <ns0:c r="T51" s="79" t="str">
        <ns0:v>Respuesta neutra, token impredecible y límites acordados.</ns0:v>
      </ns0:c>
      <ns0:c r="U51" s="79" t="str">
        <ns0:v>Nodemailer instalado; falta flujo y configuración del proveedor. Referencia del plan anterior: P04.04.</ns0:v>
      </ns0:c>
      <ns0:c r="V51" s="79" t="str">
        <ns0:f t="shared" si="15">IF(OR(G51="Implementada",G51="Reportada"),IF(OR(K51="",M51="",O51=""),"Faltan datos reales","Completo"),IF(G51="Parcial",IF(OR(K51="",M51=""),"Faltan horas/inicio","En curso"),"Pendiente"))</ns0:f>
        <ns0:v>Pendiente</ns0:v>
      </ns0:c>
      <ns0:c r="W51" s="79" t="str">
        <ns0:v>Emisión de token y correo con protección contra abuso.</ns0:v>
      </ns0:c>
      <ns0:c r="X51" s="79"/>
      <ns0:c r="Y51" s="79" t="str">
        <ns0:v>Pendiente: sin implementación atribuible.</ns0:v>
      </ns0:c>
      <ns0:c r="Z51" s="79" t="str">
        <ns0:v>Evidencias Git, fila 28</ns0:v>
      </ns0:c>
    </ns0:row>
    <ns0:row r="52" ht="100" customHeight="1">
      <ns0:c r="A52" s="79" t="str">
        <ns0:v>P04.16</ns0:v>
      </ns0:c>
      <ns0:c r="B52" s="79" t="n">
        <ns0:v>2</ns0:v>
      </ns0:c>
      <ns0:c r="C52" s="79" t="str">
        <ns0:v>Lógica de negocio: Consumir token y restablecer contraseña</ns0:v>
      </ns0:c>
      <ns0:c r="D52" s="79" t="str">
        <ns0:v>RF4</ns0:v>
      </ns0:c>
      <ns0:c r="E52" s="79" t="str">
        <ns0:v>P04.13, P04.14, P04.15</ns0:v>
      </ns0:c>
      <ns0:c r="F52" s="79" t="n">
        <ns0:v>9</ns0:v>
      </ns0:c>
      <ns0:c r="G52" s="79" t="str">
        <ns0:v>Pendiente</ns0:v>
      </ns0:c>
      <ns0:c r="H52" s="97" t="str">
        <ns0:v>Alejandro</ns0:v>
      </ns0:c>
      <ns0:c r="I52" s="98" t="n">
        <ns0:v>2</ns0:v>
      </ns0:c>
      <ns0:c r="J52" s="98" t="n">
        <ns0:v>2</ns0:v>
      </ns0:c>
      <ns0:c r="K52" s="98"/>
      <ns0:c r="L52" s="99"/>
      <ns0:c r="M52" s="99"/>
      <ns0:c r="N52" s="99"/>
      <ns0:c r="O52" s="99"/>
      <ns0:c r="P52" s="79" t="str">
        <ns0:f t="shared" si="12">IF(K52="","",K52-I52)</ns0:f>
      </ns0:c>
      <ns0:c r="Q52" s="79" t="str">
        <ns0:f t="shared" si="13">IF(OR(L52="",M52=""),"",M52-L52)</ns0:f>
      </ns0:c>
      <ns0:c r="R52" s="79" t="str">
        <ns0:f t="shared" si="14">IF(OR(N52="",O52=""),"",O52-N52)</ns0:f>
      </ns0:c>
      <ns0:c r="S52" s="79" t="str">
        <ns0:v>Rojo: caso que demuestre el fallo del criterio. Verde: implementar y ejecutar la prueba. Refactorizar sin perder el verde. Unitarias de reglas e integración donde corresponda.</ns0:v>
      </ns0:c>
      <ns0:c r="T52" s="79" t="str">
        <ns0:v>Token válido cambia hash y queda consumido atómicamente.</ns0:v>
      </ns0:c>
      <ns0:c r="U52" s="79" t="str">
        <ns0:v>Word 4 y Tarjeta RF4. Referencia del plan anterior: P04.05.</ns0:v>
      </ns0:c>
      <ns0:c r="V52" s="79" t="str">
        <ns0:f t="shared" si="15">IF(OR(G52="Implementada",G52="Reportada"),IF(OR(K52="",M52="",O52=""),"Faltan datos reales","Completo"),IF(G52="Parcial",IF(OR(K52="",M52=""),"Faltan horas/inicio","En curso"),"Pendiente"))</ns0:f>
        <ns0:v>Pendiente</ns0:v>
      </ns0:c>
      <ns0:c r="W52" s="79" t="str">
        <ns0:v>Servicio de consumo de token probado.</ns0:v>
      </ns0:c>
      <ns0:c r="X52" s="79"/>
      <ns0:c r="Y52" s="79" t="str">
        <ns0:v>Pendiente: sin implementación atribuible.</ns0:v>
      </ns0:c>
      <ns0:c r="Z52" s="79" t="str">
        <ns0:v>Evidencias Git, fila 29</ns0:v>
      </ns0:c>
    </ns0:row>
    <ns0:row r="53" ht="100" customHeight="1">
      <ns0:c r="A53" s="79" t="str">
        <ns0:v>P04.17</ns0:v>
      </ns0:c>
      <ns0:c r="B53" s="79" t="n">
        <ns0:v>2</ns0:v>
      </ns0:c>
      <ns0:c r="C53" s="79" t="str">
        <ns0:v>Interfaz de usuario: Crear solicitud y formulario de recuperación</ns0:v>
      </ns0:c>
      <ns0:c r="D53" s="79" t="str">
        <ns0:v>RF4</ns0:v>
      </ns0:c>
      <ns0:c r="E53" s="79" t="str">
        <ns0:v>P04.13, P04.14, P04.15, P04.16</ns0:v>
      </ns0:c>
      <ns0:c r="F53" s="79" t="n">
        <ns0:v>10</ns0:v>
      </ns0:c>
      <ns0:c r="G53" s="79" t="str">
        <ns0:v>Pendiente</ns0:v>
      </ns0:c>
      <ns0:c r="H53" s="97" t="str">
        <ns0:v>Jesús</ns0:v>
      </ns0:c>
      <ns0:c r="I53" s="98" t="n">
        <ns0:v>2</ns0:v>
      </ns0:c>
      <ns0:c r="J53" s="98" t="n">
        <ns0:v>2</ns0:v>
      </ns0:c>
      <ns0:c r="K53" s="98"/>
      <ns0:c r="L53" s="99"/>
      <ns0:c r="M53" s="99"/>
      <ns0:c r="N53" s="99"/>
      <ns0:c r="O53" s="99"/>
      <ns0:c r="P53" s="79" t="str">
        <ns0:f t="shared" si="12">IF(K53="","",K53-I53)</ns0:f>
      </ns0:c>
      <ns0:c r="Q53" s="79" t="str">
        <ns0:f t="shared" si="13">IF(OR(L53="",M53=""),"",M53-L53)</ns0:f>
      </ns0:c>
      <ns0:c r="R53" s="79" t="str">
        <ns0:f t="shared" si="14">IF(OR(N53="",O53=""),"",O53-N53)</ns0:f>
      </ns0:c>
      <ns0:c r="S53" s="79" t="str">
        <ns0:v>Rojo: caso que demuestre el fallo del criterio. Verde: implementar y ejecutar la prueba. Refactorizar sin perder el verde. Pruebas de interacción y validación de interfaz.</ns0:v>
      </ns0:c>
      <ns0:c r="T53" s="79" t="str">
        <ns0:v>Solicitud, nueva clave y mensajes de enlace inválido o caducado.</ns0:v>
      </ns0:c>
      <ns0:c r="U53" s="79" t="str">
        <ns0:v>Word 4 y Tarjeta RF4. Referencia del plan anterior: P04.05.</ns0:v>
      </ns0:c>
      <ns0:c r="V53" s="79" t="str">
        <ns0:f t="shared" si="15">IF(OR(G53="Implementada",G53="Reportada"),IF(OR(K53="",M53="",O53=""),"Faltan datos reales","Completo"),IF(G53="Parcial",IF(OR(K53="",M53=""),"Faltan horas/inicio","En curso"),"Pendiente"))</ns0:f>
        <ns0:v>Pendiente</ns0:v>
      </ns0:c>
      <ns0:c r="W53" s="79" t="str">
        <ns0:v>Recuperación completa desde correo y navegador.</ns0:v>
      </ns0:c>
      <ns0:c r="X53" s="79"/>
      <ns0:c r="Y53" s="79" t="str">
        <ns0:v>Pendiente: sin implementación atribuible.</ns0:v>
      </ns0:c>
      <ns0:c r="Z53" s="79" t="str">
        <ns0:v>Evidencias Git, fila 30</ns0:v>
      </ns0:c>
    </ns0:row>
    <ns0:row r="54" ht="100" customHeight="1">
      <ns0:c r="A54" s="79" t="str">
        <ns0:v>P04.18</ns0:v>
      </ns0:c>
      <ns0:c r="B54" s="79" t="n">
        <ns0:v>2</ns0:v>
      </ns0:c>
      <ns0:c r="C54" s="79" t="str">
        <ns0:v>Integración: Verificar recuperación por correo y nuevo acceso</ns0:v>
      </ns0:c>
      <ns0:c r="D54" s="79" t="str">
        <ns0:v>RF4</ns0:v>
      </ns0:c>
      <ns0:c r="E54" s="79" t="str">
        <ns0:v>P04.13, P04.14, P04.15, P04.16, P04.17</ns0:v>
      </ns0:c>
      <ns0:c r="F54" s="79" t="n">
        <ns0:v>10</ns0:v>
      </ns0:c>
      <ns0:c r="G54" s="79" t="str">
        <ns0:v>Pendiente</ns0:v>
      </ns0:c>
      <ns0:c r="H54" s="97" t="str">
        <ns0:v>Alvaro</ns0:v>
      </ns0:c>
      <ns0:c r="I54" s="98" t="n">
        <ns0:v>2</ns0:v>
      </ns0:c>
      <ns0:c r="J54" s="98" t="n">
        <ns0:v>2</ns0:v>
      </ns0:c>
      <ns0:c r="K54" s="98"/>
      <ns0:c r="L54" s="99"/>
      <ns0:c r="M54" s="99"/>
      <ns0:c r="N54" s="99"/>
      <ns0:c r="O54" s="99"/>
      <ns0:c r="P54" s="79" t="str">
        <ns0:f t="shared" si="12">IF(K54="","",K54-I54)</ns0:f>
      </ns0:c>
      <ns0:c r="Q54" s="79" t="str">
        <ns0:f t="shared" si="13">IF(OR(L54="",M54=""),"",M54-L54)</ns0:f>
      </ns0:c>
      <ns0:c r="R54" s="79" t="str">
        <ns0:f t="shared" si="14">IF(OR(N54="",O54=""),"",O54-N54)</ns0:f>
      </ns0:c>
      <ns0:c r="S54" s="79" t="str">
        <ns0:v>Rojo: caso que demuestre el fallo del criterio. Verde: implementar y ejecutar la prueba. Refactorizar sin perder el verde. Comprobar componentes conectados y flujo E2E pertinente.</ns0:v>
      </ns0:c>
      <ns0:c r="T54" s="79" t="str">
        <ns0:v>Flujo completo; rechazar token reutilizado, caducado o inválido.</ns0:v>
      </ns0:c>
      <ns0:c r="U54" s="79" t="str">
        <ns0:v>Word 4 y Tarjeta RF4. Referencia del plan anterior: P04.05.</ns0:v>
      </ns0:c>
      <ns0:c r="V54" s="79" t="str">
        <ns0:f t="shared" si="15">IF(OR(G54="Implementada",G54="Reportada"),IF(OR(K54="",M54="",O54=""),"Faltan datos reales","Completo"),IF(G54="Parcial",IF(OR(K54="",M54=""),"Faltan horas/inicio","En curso"),"Pendiente"))</ns0:f>
        <ns0:v>Pendiente</ns0:v>
      </ns0:c>
      <ns0:c r="W54" s="79" t="str">
        <ns0:v>Recuperación completa desde correo y navegador.</ns0:v>
      </ns0:c>
      <ns0:c r="X54" s="79"/>
      <ns0:c r="Y54" s="79" t="str">
        <ns0:v>Pendiente: sin implementación atribuible.</ns0:v>
      </ns0:c>
      <ns0:c r="Z54" s="79" t="str">
        <ns0:v>Evidencias Git, fila 30</ns0:v>
      </ns0:c>
    </ns0:row>
    <ns0:row r="55" ht="30" customHeight="1">
      <ns0:c r="A55" s="94" t="str">
        <ns0:v>P05</ns0:v>
      </ns0:c>
      <ns0:c r="B55" s="94" t="n">
        <ns0:v>1</ns0:v>
      </ns0:c>
      <ns0:c r="C55" s="94" t="str">
        <ns0:v>Perfil básico</ns0:v>
      </ns0:c>
      <ns0:c r="D55" s="94"/>
      <ns0:c r="E55" s="94"/>
      <ns0:c r="F55" s="94"/>
      <ns0:c r="G55" s="94"/>
      <ns0:c r="H55" s="94"/>
      <ns0:c r="I55" s="95" t="n">
        <ns0:f>SUM(I56:I62)</ns0:f>
        <ns0:v>8</ns0:v>
      </ns0:c>
      <ns0:c r="J55" s="95" t="n">
        <ns0:f>SUM(J56:J62)</ns0:f>
        <ns0:v>8</ns0:v>
      </ns0:c>
      <ns0:c r="K55" s="95" t="str">
        <ns0:f>IF(COUNT(K56:K62)=0,"",SUM(K56:K62))</ns0:f>
      </ns0:c>
      <ns0:c r="L55" s="96" t="str">
        <ns0:f>IF(COUNT(L56:L62)=7,MIN(L56:L62),"")</ns0:f>
      </ns0:c>
      <ns0:c r="M55" s="96" t="str">
        <ns0:f>IF(COUNT(M56:M62)=7,MIN(M56:M62),"")</ns0:f>
      </ns0:c>
      <ns0:c r="N55" s="96" t="str">
        <ns0:f>IF(COUNT(N56:N62)=7,MAX(N56:N62),"")</ns0:f>
      </ns0:c>
      <ns0:c r="O55" s="96" t="str">
        <ns0:f>IF(COUNT(O56:O62)=7,MAX(O56:O62),"")</ns0:f>
      </ns0:c>
      <ns0:c r="S55" s="94"/>
      <ns0:c r="T55" s="94"/>
      <ns0:c r="U55" s="94"/>
      <ns0:c r="W55" s="94"/>
      <ns0:c r="X55" s="94"/>
      <ns0:c r="Y55" s="94"/>
      <ns0:c r="Z55" s="94"/>
    </ns0:row>
    <ns0:row r="56" ht="100" customHeight="1">
      <ns0:c r="A56" s="79" t="str">
        <ns0:v>P05.01</ns0:v>
      </ns0:c>
      <ns0:c r="B56" s="79" t="n">
        <ns0:v>2</ns0:v>
      </ns0:c>
      <ns0:c r="C56" s="79" t="str">
        <ns0:v>Lógica de negocio: Consultar datos del perfil propio</ns0:v>
      </ns0:c>
      <ns0:c r="D56" s="79" t="str">
        <ns0:v>RF5; DOC20</ns0:v>
      </ns0:c>
      <ns0:c r="E56" s="79" t="str">
        <ns0:v>P04.05, P04.06, P04.07, P04.08</ns0:v>
      </ns0:c>
      <ns0:c r="F56" s="79" t="n">
        <ns0:v>1</ns0:v>
      </ns0:c>
      <ns0:c r="G56" s="79" t="str">
        <ns0:v>Pendiente</ns0:v>
      </ns0:c>
      <ns0:c r="H56" s="97" t="str">
        <ns0:v>Iñigo</ns0:v>
      </ns0:c>
      <ns0:c r="I56" s="98" t="n">
        <ns0:v>1</ns0:v>
      </ns0:c>
      <ns0:c r="J56" s="98" t="n">
        <ns0:v>1</ns0:v>
      </ns0:c>
      <ns0:c r="K56" s="98"/>
      <ns0:c r="L56" s="99"/>
      <ns0:c r="M56" s="99"/>
      <ns0:c r="N56" s="99"/>
      <ns0:c r="O56" s="99"/>
      <ns0:c r="P56" s="79" t="str">
        <ns0:f t="shared" si="12">IF(K56="","",K56-I56)</ns0:f>
      </ns0:c>
      <ns0:c r="Q56" s="79" t="str">
        <ns0:f t="shared" si="13">IF(OR(L56="",M56=""),"",M56-L56)</ns0:f>
      </ns0:c>
      <ns0:c r="R56" s="79" t="str">
        <ns0:f t="shared" si="14">IF(OR(N56="",O56=""),"",O56-N56)</ns0:f>
      </ns0:c>
      <ns0:c r="S56" s="79" t="str">
        <ns0:v>Rojo: caso que demuestre el fallo del criterio. Verde: implementar y ejecutar la prueba. Refactorizar sin perder el verde. Unitarias de reglas e integración donde corresponda.</ns0:v>
      </ns0:c>
      <ns0:c r="T56" s="79" t="str">
        <ns0:v>Obtener datos permitidos del usuario autenticado.</ns0:v>
      </ns0:c>
      <ns0:c r="U56" s="79" t="str">
        <ns0:v>Word 5; historial se completa en P13. Referencia del plan anterior: P05.01.</ns0:v>
      </ns0:c>
      <ns0:c r="V56" s="79" t="str">
        <ns0:f t="shared" si="15">IF(OR(G56="Implementada",G56="Reportada"),IF(OR(K56="",M56="",O56=""),"Faltan datos reales","Completo"),IF(G56="Parcial",IF(OR(K56="",M56=""),"Faltan horas/inicio","En curso"),"Pendiente"))</ns0:f>
        <ns0:v>Pendiente</ns0:v>
      </ns0:c>
      <ns0:c r="W56" s="79" t="str">
        <ns0:v>Consulta autorizada del perfil reutilizable.</ns0:v>
      </ns0:c>
      <ns0:c r="X56" s="79"/>
      <ns0:c r="Y56" s="79" t="str">
        <ns0:v>Pendiente: sin implementación atribuible.</ns0:v>
      </ns0:c>
      <ns0:c r="Z56" s="79" t="str">
        <ns0:v>Evidencias Git, fila 31</ns0:v>
      </ns0:c>
    </ns0:row>
    <ns0:row r="57" ht="100" customHeight="1">
      <ns0:c r="A57" s="79" t="str">
        <ns0:v>P05.02</ns0:v>
      </ns0:c>
      <ns0:c r="B57" s="79" t="n">
        <ns0:v>2</ns0:v>
      </ns0:c>
      <ns0:c r="C57" s="79" t="str">
        <ns0:v>Interfaz de usuario: Mostrar perfil y datos personales</ns0:v>
      </ns0:c>
      <ns0:c r="D57" s="79" t="str">
        <ns0:v>RF5; DOC20</ns0:v>
      </ns0:c>
      <ns0:c r="E57" s="79" t="str">
        <ns0:v>P04.05, P04.06, P04.07, P04.08, P05.01</ns0:v>
      </ns0:c>
      <ns0:c r="F57" s="79" t="n">
        <ns0:v>2</ns0:v>
      </ns0:c>
      <ns0:c r="G57" s="79" t="str">
        <ns0:v>Pendiente</ns0:v>
      </ns0:c>
      <ns0:c r="H57" s="97" t="str">
        <ns0:v>Jorge</ns0:v>
      </ns0:c>
      <ns0:c r="I57" s="98" t="n">
        <ns0:v>2</ns0:v>
      </ns0:c>
      <ns0:c r="J57" s="98" t="n">
        <ns0:v>2</ns0:v>
      </ns0:c>
      <ns0:c r="K57" s="98"/>
      <ns0:c r="L57" s="99"/>
      <ns0:c r="M57" s="99"/>
      <ns0:c r="N57" s="99"/>
      <ns0:c r="O57" s="99"/>
      <ns0:c r="P57" s="79" t="str">
        <ns0:f>IF(K57="","",K57-I57)</ns0:f>
      </ns0:c>
      <ns0:c r="Q57" s="79" t="str">
        <ns0:f>IF(OR(L57="",M57=""),"",M57-L57)</ns0:f>
      </ns0:c>
      <ns0:c r="R57" s="79" t="str">
        <ns0:f>IF(OR(N57="",O57=""),"",O57-N57)</ns0:f>
      </ns0:c>
      <ns0:c r="S57" s="79" t="str">
        <ns0:v>Rojo: caso que demuestre el fallo del criterio. Verde: implementar y ejecutar la prueba. Refactorizar sin perder el verde. Pruebas de interacción y validación de interfaz.</ns0:v>
      </ns0:c>
      <ns0:c r="T57" s="79" t="str">
        <ns0:v>Nombre, correo y organización; espacio para historial.</ns0:v>
      </ns0:c>
      <ns0:c r="U57" s="79" t="str">
        <ns0:v>Word 5; historial se completa en P13. Referencia del plan anterior: P05.01.</ns0:v>
      </ns0:c>
      <ns0:c r="V57" s="79" t="str">
        <ns0:f>IF(OR(G57="Implementada",G57="Reportada"),IF(OR(K57="",M57="",O57=""),"Faltan datos reales","Completo"),IF(G57="Parcial",IF(OR(K57="",M57=""),"Faltan horas/inicio","En curso"),"Pendiente"))</ns0:f>
        <ns0:v>Pendiente</ns0:v>
      </ns0:c>
      <ns0:c r="W57" s="79" t="str">
        <ns0:v>Vista del perfil conectada.</ns0:v>
      </ns0:c>
      <ns0:c r="X57" s="79"/>
      <ns0:c r="Y57" s="79" t="str">
        <ns0:v>Pendiente: sin implementación atribuible.</ns0:v>
      </ns0:c>
      <ns0:c r="Z57" s="79" t="str">
        <ns0:v>Evidencias Git, fila 32</ns0:v>
      </ns0:c>
    </ns0:row>
    <ns0:row r="58" ht="100" customHeight="1">
      <ns0:c r="A58" s="79" t="str">
        <ns0:v>P05.03</ns0:v>
      </ns0:c>
      <ns0:c r="B58" s="79" t="n">
        <ns0:v>2</ns0:v>
      </ns0:c>
      <ns0:c r="C58" s="79" t="str">
        <ns0:v>Seguridad: Impedir consulta de perfiles privados ajenos</ns0:v>
      </ns0:c>
      <ns0:c r="D58" s="79" t="str">
        <ns0:v>RF5; DOC20</ns0:v>
      </ns0:c>
      <ns0:c r="E58" s="79" t="str">
        <ns0:v>P04.05, P04.06, P04.07, P04.08, P05.01</ns0:v>
      </ns0:c>
      <ns0:c r="F58" s="79" t="n">
        <ns0:v>1</ns0:v>
      </ns0:c>
      <ns0:c r="G58" s="79" t="str">
        <ns0:v>Pendiente</ns0:v>
      </ns0:c>
      <ns0:c r="H58" s="97" t="str">
        <ns0:v>Gonzalo</ns0:v>
      </ns0:c>
      <ns0:c r="I58" s="98" t="n">
        <ns0:v>1</ns0:v>
      </ns0:c>
      <ns0:c r="J58" s="98" t="n">
        <ns0:v>1</ns0:v>
      </ns0:c>
      <ns0:c r="K58" s="98"/>
      <ns0:c r="L58" s="99"/>
      <ns0:c r="M58" s="99"/>
      <ns0:c r="N58" s="99"/>
      <ns0:c r="O58" s="99"/>
      <ns0:c r="P58" s="79" t="str">
        <ns0:f t="shared" ref="P58:P68" si="16">IF(K58="","",K58-I58)</ns0:f>
      </ns0:c>
      <ns0:c r="Q58" s="79" t="str">
        <ns0:f t="shared" ref="Q58:Q68" si="17">IF(OR(L58="",M58=""),"",M58-L58)</ns0:f>
      </ns0:c>
      <ns0:c r="R58" s="79" t="str">
        <ns0:f t="shared" ref="R58:R68" si="18">IF(OR(N58="",O58=""),"",O58-N58)</ns0:f>
      </ns0:c>
      <ns0:c r="S58" s="79" t="str">
        <ns0:v>Rojo: caso que demuestre el fallo del criterio. Verde: implementar y ejecutar la prueba. Refactorizar sin perder el verde. Casos autorizados y ataques/accesos rechazados.</ns0:v>
      </ns0:c>
      <ns0:c r="T58" s="79" t="str">
        <ns0:v>Pruebas de usuario anónimo y acceso cruzado.</ns0:v>
      </ns0:c>
      <ns0:c r="U58" s="79" t="str">
        <ns0:v>Word 5; historial se completa en P13. Referencia del plan anterior: P05.01.</ns0:v>
      </ns0:c>
      <ns0:c r="V58" s="79" t="str">
        <ns0:f t="shared" ref="V58:V68" si="19">IF(OR(G58="Implementada",G58="Reportada"),IF(OR(K58="",M58="",O58=""),"Faltan datos reales","Completo"),IF(G58="Parcial",IF(OR(K58="",M58=""),"Faltan horas/inicio","En curso"),"Pendiente"))</ns0:f>
        <ns0:v>Pendiente</ns0:v>
      </ns0:c>
      <ns0:c r="W58" s="79" t="str">
        <ns0:v>Consulta autorizada del perfil reutilizable.</ns0:v>
      </ns0:c>
      <ns0:c r="X58" s="79"/>
      <ns0:c r="Y58" s="79" t="str">
        <ns0:v>Pendiente: sin implementación atribuible.</ns0:v>
      </ns0:c>
      <ns0:c r="Z58" s="79" t="str">
        <ns0:v>Evidencias Git, fila 31</ns0:v>
      </ns0:c>
    </ns0:row>
    <ns0:row r="59" ht="100" customHeight="1">
      <ns0:c r="A59" s="79" t="str">
        <ns0:v>P05.04</ns0:v>
      </ns0:c>
      <ns0:c r="B59" s="79" t="n">
        <ns0:v>2</ns0:v>
      </ns0:c>
      <ns0:c r="C59" s="79" t="str">
        <ns0:v>Lógica de negocio: Validar y persistir cambios del perfil</ns0:v>
      </ns0:c>
      <ns0:c r="D59" s="79" t="str">
        <ns0:v>RF6; DOC16; DOC20</ns0:v>
      </ns0:c>
      <ns0:c r="E59" s="79" t="str">
        <ns0:v>P05.01, P05.02, P05.03</ns0:v>
      </ns0:c>
      <ns0:c r="F59" s="79" t="n">
        <ns0:v>3</ns0:v>
      </ns0:c>
      <ns0:c r="G59" s="79" t="str">
        <ns0:v>Pendiente</ns0:v>
      </ns0:c>
      <ns0:c r="H59" s="97" t="str">
        <ns0:v>Jorge</ns0:v>
      </ns0:c>
      <ns0:c r="I59" s="98" t="n">
        <ns0:v>1.5</ns0:v>
      </ns0:c>
      <ns0:c r="J59" s="98" t="n">
        <ns0:v>1.5</ns0:v>
      </ns0:c>
      <ns0:c r="K59" s="98"/>
      <ns0:c r="L59" s="99"/>
      <ns0:c r="M59" s="99"/>
      <ns0:c r="N59" s="99"/>
      <ns0:c r="O59" s="99"/>
      <ns0:c r="P59" s="79" t="str">
        <ns0:f t="shared" si="16">IF(K59="","",K59-I59)</ns0:f>
      </ns0:c>
      <ns0:c r="Q59" s="79" t="str">
        <ns0:f t="shared" si="17">IF(OR(L59="",M59=""),"",M59-L59)</ns0:f>
      </ns0:c>
      <ns0:c r="R59" s="79" t="str">
        <ns0:f t="shared" si="18">IF(OR(N59="",O59=""),"",O59-N59)</ns0:f>
      </ns0:c>
      <ns0:c r="S59" s="79" t="str">
        <ns0:v>Rojo: caso que demuestre el fallo del criterio. Verde: implementar y ejecutar la prueba. Refactorizar sin perder el verde. Unitarias de reglas e integración donde corresponda.</ns0:v>
      </ns0:c>
      <ns0:c r="T59" s="79" t="str">
        <ns0:v>Campos permitidos y correo único; reutilizar tabla de usuarios.</ns0:v>
      </ns0:c>
      <ns0:c r="U59" s="79" t="str">
        <ns0:v>Word 5. Referencia del plan anterior: P05.02.</ns0:v>
      </ns0:c>
      <ns0:c r="V59" s="79" t="str">
        <ns0:f t="shared" si="19">IF(OR(G59="Implementada",G59="Reportada"),IF(OR(K59="",M59="",O59=""),"Faltan datos reales","Completo"),IF(G59="Parcial",IF(OR(K59="",M59=""),"Faltan horas/inicio","En curso"),"Pendiente"))</ns0:f>
        <ns0:v>Pendiente</ns0:v>
      </ns0:c>
      <ns0:c r="W59" s="79" t="str">
        <ns0:v>Edición autorizada de datos del perfil.</ns0:v>
      </ns0:c>
      <ns0:c r="X59" s="79"/>
      <ns0:c r="Y59" s="79" t="str">
        <ns0:v>Pendiente: sin implementación atribuible.</ns0:v>
      </ns0:c>
      <ns0:c r="Z59" s="79" t="str">
        <ns0:v>Evidencias Git, fila 33</ns0:v>
      </ns0:c>
    </ns0:row>
    <ns0:row r="60" ht="100" customHeight="1">
      <ns0:c r="A60" s="79" t="str">
        <ns0:v>P05.05</ns0:v>
      </ns0:c>
      <ns0:c r="B60" s="79" t="n">
        <ns0:v>2</ns0:v>
      </ns0:c>
      <ns0:c r="C60" s="79" t="str">
        <ns0:v>Interfaz de usuario: Editar perfil con mensajes de validación</ns0:v>
      </ns0:c>
      <ns0:c r="D60" s="79" t="str">
        <ns0:v>RF6; DOC16; DOC20</ns0:v>
      </ns0:c>
      <ns0:c r="E60" s="79" t="str">
        <ns0:v>P05.01, P05.02, P05.03, P05.04</ns0:v>
      </ns0:c>
      <ns0:c r="F60" s="79" t="n">
        <ns0:v>4</ns0:v>
      </ns0:c>
      <ns0:c r="G60" s="79" t="str">
        <ns0:v>Pendiente</ns0:v>
      </ns0:c>
      <ns0:c r="H60" s="97" t="str">
        <ns0:v>Alejandro</ns0:v>
      </ns0:c>
      <ns0:c r="I60" s="98" t="n">
        <ns0:v>1</ns0:v>
      </ns0:c>
      <ns0:c r="J60" s="98" t="n">
        <ns0:v>1</ns0:v>
      </ns0:c>
      <ns0:c r="K60" s="98"/>
      <ns0:c r="L60" s="99"/>
      <ns0:c r="M60" s="99"/>
      <ns0:c r="N60" s="99"/>
      <ns0:c r="O60" s="99"/>
      <ns0:c r="P60" s="79" t="str">
        <ns0:f t="shared" si="16">IF(K60="","",K60-I60)</ns0:f>
      </ns0:c>
      <ns0:c r="Q60" s="79" t="str">
        <ns0:f t="shared" si="17">IF(OR(L60="",M60=""),"",M60-L60)</ns0:f>
      </ns0:c>
      <ns0:c r="R60" s="79" t="str">
        <ns0:f t="shared" si="18">IF(OR(N60="",O60=""),"",O60-N60)</ns0:f>
      </ns0:c>
      <ns0:c r="S60" s="79" t="str">
        <ns0:v>Rojo: caso que demuestre el fallo del criterio. Verde: implementar y ejecutar la prueba. Refactorizar sin perder el verde. Pruebas de interacción y validación de interfaz.</ns0:v>
      </ns0:c>
      <ns0:c r="T60" s="79" t="str">
        <ns0:v>Formulario precargado y confirmación de guardado.</ns0:v>
      </ns0:c>
      <ns0:c r="U60" s="79" t="str">
        <ns0:v>Word 5. Referencia del plan anterior: P05.02.</ns0:v>
      </ns0:c>
      <ns0:c r="V60" s="79" t="str">
        <ns0:f t="shared" si="19">IF(OR(G60="Implementada",G60="Reportada"),IF(OR(K60="",M60="",O60=""),"Faltan datos reales","Completo"),IF(G60="Parcial",IF(OR(K60="",M60=""),"Faltan horas/inicio","En curso"),"Pendiente"))</ns0:f>
        <ns0:v>Pendiente</ns0:v>
      </ns0:c>
      <ns0:c r="W60" s="79" t="str">
        <ns0:v>Formulario de edición y persistencia comprobados.</ns0:v>
      </ns0:c>
      <ns0:c r="X60" s="79"/>
      <ns0:c r="Y60" s="79" t="str">
        <ns0:v>Pendiente: sin implementación atribuible.</ns0:v>
      </ns0:c>
      <ns0:c r="Z60" s="79" t="str">
        <ns0:v>Evidencias Git, fila 34</ns0:v>
      </ns0:c>
    </ns0:row>
    <ns0:row r="61" ht="100" customHeight="1">
      <ns0:c r="A61" s="79" t="str">
        <ns0:v>P05.06</ns0:v>
      </ns0:c>
      <ns0:c r="B61" s="79" t="n">
        <ns0:v>2</ns0:v>
      </ns0:c>
      <ns0:c r="C61" s="79" t="str">
        <ns0:v>Seguridad: Bloquear modificación de campos internos o ajenos</ns0:v>
      </ns0:c>
      <ns0:c r="D61" s="79" t="str">
        <ns0:v>RF6; DOC16; DOC20</ns0:v>
      </ns0:c>
      <ns0:c r="E61" s="79" t="str">
        <ns0:v>P05.01, P05.02, P05.03, P05.04</ns0:v>
      </ns0:c>
      <ns0:c r="F61" s="79" t="n">
        <ns0:v>3</ns0:v>
      </ns0:c>
      <ns0:c r="G61" s="79" t="str">
        <ns0:v>Pendiente</ns0:v>
      </ns0:c>
      <ns0:c r="H61" s="97" t="str">
        <ns0:v>Alvaro</ns0:v>
      </ns0:c>
      <ns0:c r="I61" s="98" t="n">
        <ns0:v>0.5</ns0:v>
      </ns0:c>
      <ns0:c r="J61" s="98" t="n">
        <ns0:v>0.5</ns0:v>
      </ns0:c>
      <ns0:c r="K61" s="98"/>
      <ns0:c r="L61" s="99"/>
      <ns0:c r="M61" s="99"/>
      <ns0:c r="N61" s="99"/>
      <ns0:c r="O61" s="99"/>
      <ns0:c r="P61" s="79" t="str">
        <ns0:f t="shared" si="16">IF(K61="","",K61-I61)</ns0:f>
      </ns0:c>
      <ns0:c r="Q61" s="79" t="str">
        <ns0:f t="shared" si="17">IF(OR(L61="",M61=""),"",M61-L61)</ns0:f>
      </ns0:c>
      <ns0:c r="R61" s="79" t="str">
        <ns0:f t="shared" si="18">IF(OR(N61="",O61=""),"",O61-N61)</ns0:f>
      </ns0:c>
      <ns0:c r="S61" s="79" t="str">
        <ns0:v>Rojo: caso que demuestre el fallo del criterio. Verde: implementar y ejecutar la prueba. Refactorizar sin perder el verde. Casos autorizados y ataques/accesos rechazados.</ns0:v>
      </ns0:c>
      <ns0:c r="T61" s="79" t="str">
        <ns0:v>No aceptar ID, rol u otros campos internos manipulados.</ns0:v>
      </ns0:c>
      <ns0:c r="U61" s="79" t="str">
        <ns0:v>Word 5. Referencia del plan anterior: P05.02.</ns0:v>
      </ns0:c>
      <ns0:c r="V61" s="79" t="str">
        <ns0:f t="shared" si="19">IF(OR(G61="Implementada",G61="Reportada"),IF(OR(K61="",M61="",O61=""),"Faltan datos reales","Completo"),IF(G61="Parcial",IF(OR(K61="",M61=""),"Faltan horas/inicio","En curso"),"Pendiente"))</ns0:f>
        <ns0:v>Pendiente</ns0:v>
      </ns0:c>
      <ns0:c r="W61" s="79" t="str">
        <ns0:v>Edición autorizada de datos del perfil.</ns0:v>
      </ns0:c>
      <ns0:c r="X61" s="79"/>
      <ns0:c r="Y61" s="79" t="str">
        <ns0:v>Pendiente: sin implementación atribuible.</ns0:v>
      </ns0:c>
      <ns0:c r="Z61" s="79" t="str">
        <ns0:v>Evidencias Git, fila 33</ns0:v>
      </ns0:c>
    </ns0:row>
    <ns0:row r="62" ht="100" customHeight="1">
      <ns0:c r="A62" s="79" t="str">
        <ns0:v>P05.07</ns0:v>
      </ns0:c>
      <ns0:c r="B62" s="79" t="n">
        <ns0:v>2</ns0:v>
      </ns0:c>
      <ns0:c r="C62" s="79" t="str">
        <ns0:v>Integración: Comprobar edición y recarga del perfil</ns0:v>
      </ns0:c>
      <ns0:c r="D62" s="79" t="str">
        <ns0:v>RF6; DOC16; DOC20</ns0:v>
      </ns0:c>
      <ns0:c r="E62" s="79" t="str">
        <ns0:v>P05.01, P05.02, P05.03, P05.04, P05.05, P05.06</ns0:v>
      </ns0:c>
      <ns0:c r="F62" s="79" t="n">
        <ns0:v>4</ns0:v>
      </ns0:c>
      <ns0:c r="G62" s="79" t="str">
        <ns0:v>Pendiente</ns0:v>
      </ns0:c>
      <ns0:c r="H62" s="97" t="str">
        <ns0:v>Jesús</ns0:v>
      </ns0:c>
      <ns0:c r="I62" s="98" t="n">
        <ns0:v>1</ns0:v>
      </ns0:c>
      <ns0:c r="J62" s="98" t="n">
        <ns0:v>1</ns0:v>
      </ns0:c>
      <ns0:c r="K62" s="98"/>
      <ns0:c r="L62" s="99"/>
      <ns0:c r="M62" s="99"/>
      <ns0:c r="N62" s="99"/>
      <ns0:c r="O62" s="99"/>
      <ns0:c r="P62" s="79" t="str">
        <ns0:f t="shared" si="16">IF(K62="","",K62-I62)</ns0:f>
      </ns0:c>
      <ns0:c r="Q62" s="79" t="str">
        <ns0:f t="shared" si="17">IF(OR(L62="",M62=""),"",M62-L62)</ns0:f>
      </ns0:c>
      <ns0:c r="R62" s="79" t="str">
        <ns0:f t="shared" si="18">IF(OR(N62="",O62=""),"",O62-N62)</ns0:f>
      </ns0:c>
      <ns0:c r="S62" s="79" t="str">
        <ns0:v>Rojo: caso que demuestre el fallo del criterio. Verde: implementar y ejecutar la prueba. Refactorizar sin perder el verde. Comprobar componentes conectados y flujo E2E pertinente.</ns0:v>
      </ns0:c>
      <ns0:c r="T62" s="79" t="str">
        <ns0:v>Cambios persisten y errores conservan datos anteriores.</ns0:v>
      </ns0:c>
      <ns0:c r="U62" s="79" t="str">
        <ns0:v>Word 5. Referencia del plan anterior: P05.02.</ns0:v>
      </ns0:c>
      <ns0:c r="V62" s="79" t="str">
        <ns0:f t="shared" si="19">IF(OR(G62="Implementada",G62="Reportada"),IF(OR(K62="",M62="",O62=""),"Faltan datos reales","Completo"),IF(G62="Parcial",IF(OR(K62="",M62=""),"Faltan horas/inicio","En curso"),"Pendiente"))</ns0:f>
        <ns0:v>Pendiente</ns0:v>
      </ns0:c>
      <ns0:c r="W62" s="79" t="str">
        <ns0:v>Formulario de edición y persistencia comprobados.</ns0:v>
      </ns0:c>
      <ns0:c r="X62" s="79"/>
      <ns0:c r="Y62" s="79" t="str">
        <ns0:v>Pendiente: sin implementación atribuible.</ns0:v>
      </ns0:c>
      <ns0:c r="Z62" s="79" t="str">
        <ns0:v>Evidencias Git, fila 34</ns0:v>
      </ns0:c>
    </ns0:row>
    <ns0:row r="63" ht="30" customHeight="1">
      <ns0:c r="A63" s="94" t="str">
        <ns0:v>P06</ns0:v>
      </ns0:c>
      <ns0:c r="B63" s="94" t="n">
        <ns0:v>1</ns0:v>
      </ns0:c>
      <ns0:c r="C63" s="94" t="str">
        <ns0:v>Publicaciones y modelo de objetos</ns0:v>
      </ns0:c>
      <ns0:c r="D63" s="94"/>
      <ns0:c r="E63" s="94"/>
      <ns0:c r="F63" s="94"/>
      <ns0:c r="G63" s="94"/>
      <ns0:c r="H63" s="94"/>
      <ns0:c r="I63" s="95" t="n">
        <ns0:f>SUM(I64:I78)</ns0:f>
        <ns0:v>36</ns0:v>
      </ns0:c>
      <ns0:c r="J63" s="95" t="n">
        <ns0:f>SUM(J64:J78)</ns0:f>
        <ns0:v>36</ns0:v>
      </ns0:c>
      <ns0:c r="K63" s="95" t="str">
        <ns0:f>IF(COUNT(K64:K78)=0,"",SUM(K64:K78))</ns0:f>
      </ns0:c>
      <ns0:c r="L63" s="96" t="str">
        <ns0:f>IF(COUNT(L64:L78)=15,MIN(L64:L78),"")</ns0:f>
      </ns0:c>
      <ns0:c r="M63" s="96" t="str">
        <ns0:f>IF(COUNT(M64:M78)=15,MIN(M64:M78),"")</ns0:f>
      </ns0:c>
      <ns0:c r="N63" s="96" t="str">
        <ns0:f>IF(COUNT(N64:N78)=15,MAX(N64:N78),"")</ns0:f>
      </ns0:c>
      <ns0:c r="O63" s="96" t="str">
        <ns0:f>IF(COUNT(O64:O78)=15,MAX(O64:O78),"")</ns0:f>
      </ns0:c>
      <ns0:c r="S63" s="94"/>
      <ns0:c r="T63" s="94"/>
      <ns0:c r="U63" s="94"/>
      <ns0:c r="W63" s="94"/>
      <ns0:c r="X63" s="94"/>
      <ns0:c r="Y63" s="94"/>
      <ns0:c r="Z63" s="94"/>
    </ns0:row>
    <ns0:row r="64" ht="100" customHeight="1">
      <ns0:c r="A64" s="79" t="str">
        <ns0:v>P06.01</ns0:v>
      </ns0:c>
      <ns0:c r="B64" s="79" t="n">
        <ns0:v>2</ns0:v>
      </ns0:c>
      <ns0:c r="C64" s="79" t="str">
        <ns0:v>Base de datos: Crear tablas de publicaciones, objetos y ubicaciones</ns0:v>
      </ns0:c>
      <ns0:c r="D64" s="79" t="str">
        <ns0:v>RF3; RF17; DOC19</ns0:v>
      </ns0:c>
      <ns0:c r="E64" s="79" t="str">
        <ns0:v>P02.02, P02.03, P01.06</ns0:v>
      </ns0:c>
      <ns0:c r="F64" s="79" t="n">
        <ns0:v>1</ns0:v>
      </ns0:c>
      <ns0:c r="G64" s="79" t="str">
        <ns0:v>Pendiente</ns0:v>
      </ns0:c>
      <ns0:c r="H64" s="97" t="str">
        <ns0:v>Gonzalo</ns0:v>
      </ns0:c>
      <ns0:c r="I64" s="98" t="n">
        <ns0:v>6</ns0:v>
      </ns0:c>
      <ns0:c r="J64" s="98" t="n">
        <ns0:v>6</ns0:v>
      </ns0:c>
      <ns0:c r="K64" s="98"/>
      <ns0:c r="L64" s="99"/>
      <ns0:c r="M64" s="99"/>
      <ns0:c r="N64" s="99"/>
      <ns0:c r="O64" s="99"/>
      <ns0:c r="P64" s="79" t="str">
        <ns0:f t="shared" si="16">IF(K64="","",K64-I64)</ns0:f>
      </ns0:c>
      <ns0:c r="Q64" s="79" t="str">
        <ns0:f t="shared" si="17">IF(OR(L64="",M64=""),"",M64-L64)</ns0:f>
      </ns0:c>
      <ns0:c r="R64" s="79" t="str">
        <ns0:f t="shared" si="18">IF(OR(N64="",O64=""),"",O64-N64)</ns0:f>
      </ns0:c>
      <ns0:c r="S64" s="79" t="str">
        <ns0:v>Rojo: caso que demuestre el fallo del criterio. Verde: implementar y ejecutar la prueba. Refactorizar sin perder el verde. Pruebas de integración contra PostgreSQL.</ns0:v>
      </ns0:c>
      <ns0:c r="T64" s="79" t="str">
        <ns0:v>Migraciones con propietarios, tipos, fechas, estados y relaciones.</ns0:v>
      </ns0:c>
      <ns0:c r="U64" s="79" t="str">
        <ns0:v>Word 1, 12 y 19. Referencia del plan anterior: P06.01.</ns0:v>
      </ns0:c>
      <ns0:c r="V64" s="79" t="str">
        <ns0:f t="shared" si="19">IF(OR(G64="Implementada",G64="Reportada"),IF(OR(K64="",M64="",O64=""),"Faltan datos reales","Completo"),IF(G64="Parcial",IF(OR(K64="",M64=""),"Faltan horas/inicio","En curso"),"Pendiente"))</ns0:f>
        <ns0:v>Pendiente</ns0:v>
      </ns0:c>
      <ns0:c r="W64" s="79" t="str">
        <ns0:v>Modelo de publicaciones y ubicaciones con pruebas de migración propias.</ns0:v>
      </ns0:c>
      <ns0:c r="X64" s="79"/>
      <ns0:c r="Y64" s="79" t="str">
        <ns0:v>Pendiente: sin implementación atribuible.</ns0:v>
      </ns0:c>
      <ns0:c r="Z64" s="79" t="str">
        <ns0:v>Evidencias Git, fila 35</ns0:v>
      </ns0:c>
    </ns0:row>
    <ns0:row r="65" ht="100" customHeight="1">
      <ns0:c r="A65" s="79" t="str">
        <ns0:v>P06.02</ns0:v>
      </ns0:c>
      <ns0:c r="B65" s="79" t="n">
        <ns0:v>2</ns0:v>
      </ns0:c>
      <ns0:c r="C65" s="79" t="str">
        <ns0:v>Base de datos: Verificar restricciones y persistencia del modelo</ns0:v>
      </ns0:c>
      <ns0:c r="D65" s="79" t="str">
        <ns0:v>RF3; RF17; DOC19</ns0:v>
      </ns0:c>
      <ns0:c r="E65" s="79" t="str">
        <ns0:v>P02.02, P02.03, P01.06, P06.01</ns0:v>
      </ns0:c>
      <ns0:c r="F65" s="79" t="n">
        <ns0:v>2</ns0:v>
      </ns0:c>
      <ns0:c r="G65" s="79" t="str">
        <ns0:v>Pendiente</ns0:v>
      </ns0:c>
      <ns0:c r="H65" s="97" t="str">
        <ns0:v>Iñigo</ns0:v>
      </ns0:c>
      <ns0:c r="I65" s="98" t="n">
        <ns0:v>2</ns0:v>
      </ns0:c>
      <ns0:c r="J65" s="98" t="n">
        <ns0:v>2</ns0:v>
      </ns0:c>
      <ns0:c r="K65" s="98"/>
      <ns0:c r="L65" s="99"/>
      <ns0:c r="M65" s="99"/>
      <ns0:c r="N65" s="99"/>
      <ns0:c r="O65" s="99"/>
      <ns0:c r="P65" s="79" t="str">
        <ns0:f t="shared" si="16">IF(K65="","",K65-I65)</ns0:f>
      </ns0:c>
      <ns0:c r="Q65" s="79" t="str">
        <ns0:f t="shared" si="17">IF(OR(L65="",M65=""),"",M65-L65)</ns0:f>
      </ns0:c>
      <ns0:c r="R65" s="79" t="str">
        <ns0:f t="shared" si="18">IF(OR(N65="",O65=""),"",O65-N65)</ns0:f>
      </ns0:c>
      <ns0:c r="S65" s="79" t="str">
        <ns0:v>Rojo: caso que demuestre el fallo del criterio. Verde: implementar y ejecutar la prueba. Refactorizar sin perder el verde. Pruebas de integración contra PostgreSQL.</ns0:v>
      </ns0:c>
      <ns0:c r="T65" s="79" t="str">
        <ns0:v>Rechazar referencias inválidas y estados no admitidos mediante pruebas de integración.</ns0:v>
      </ns0:c>
      <ns0:c r="U65" s="79" t="str">
        <ns0:v>Word 1, 12 y 19. Referencia del plan anterior: P06.01.</ns0:v>
      </ns0:c>
      <ns0:c r="V65" s="79" t="str">
        <ns0:f t="shared" si="19">IF(OR(G65="Implementada",G65="Reportada"),IF(OR(K65="",M65="",O65=""),"Faltan datos reales","Completo"),IF(G65="Parcial",IF(OR(K65="",M65=""),"Faltan horas/inicio","En curso"),"Pendiente"))</ns0:f>
        <ns0:v>Pendiente</ns0:v>
      </ns0:c>
      <ns0:c r="W65" s="79" t="str">
        <ns0:v>Restricciones y persistencia del modelo verificadas adicionalmente.</ns0:v>
      </ns0:c>
      <ns0:c r="X65" s="79"/>
      <ns0:c r="Y65" s="79" t="str">
        <ns0:v>Pendiente: sin implementación atribuible.</ns0:v>
      </ns0:c>
      <ns0:c r="Z65" s="79" t="str">
        <ns0:v>Evidencias Git, fila 36</ns0:v>
      </ns0:c>
    </ns0:row>
    <ns0:row r="66" ht="100" customHeight="1">
      <ns0:c r="A66" s="79" t="str">
        <ns0:v>P06.03</ns0:v>
      </ns0:c>
      <ns0:c r="B66" s="79" t="n">
        <ns0:v>2</ns0:v>
      </ns0:c>
      <ns0:c r="C66" s="79" t="str">
        <ns0:v>Lógica de negocio: Validar y guardar publicación de objeto perdido</ns0:v>
      </ns0:c>
      <ns0:c r="D66" s="79" t="str">
        <ns0:v>RF7; DOC16; DOC20</ns0:v>
      </ns0:c>
      <ns0:c r="E66" s="79" t="str">
        <ns0:v>P06.01, P06.02, P04.05, P04.06, P04.07, P04.08, P02.06</ns0:v>
      </ns0:c>
      <ns0:c r="F66" s="79" t="n">
        <ns0:v>3</ns0:v>
      </ns0:c>
      <ns0:c r="G66" s="79" t="str">
        <ns0:v>Pendiente</ns0:v>
      </ns0:c>
      <ns0:c r="H66" s="97" t="str">
        <ns0:v>Iñigo</ns0:v>
      </ns0:c>
      <ns0:c r="I66" s="98" t="n">
        <ns0:v>4</ns0:v>
      </ns0:c>
      <ns0:c r="J66" s="98" t="n">
        <ns0:v>4</ns0:v>
      </ns0:c>
      <ns0:c r="K66" s="98"/>
      <ns0:c r="L66" s="99"/>
      <ns0:c r="M66" s="99"/>
      <ns0:c r="N66" s="99"/>
      <ns0:c r="O66" s="99"/>
      <ns0:c r="P66" s="79" t="str">
        <ns0:f t="shared" si="16">IF(K66="","",K66-I66)</ns0:f>
      </ns0:c>
      <ns0:c r="Q66" s="79" t="str">
        <ns0:f t="shared" si="17">IF(OR(L66="",M66=""),"",M66-L66)</ns0:f>
      </ns0:c>
      <ns0:c r="R66" s="79" t="str">
        <ns0:f t="shared" si="18">IF(OR(N66="",O66=""),"",O66-N66)</ns0:f>
      </ns0:c>
      <ns0:c r="S66" s="79" t="str">
        <ns0:v>Rojo: caso que demuestre el fallo del criterio. Verde: implementar y ejecutar la prueba. Refactorizar sin perder el verde. Unitarias de reglas e integración donde corresponda.</ns0:v>
      </ns0:c>
      <ns0:c r="T66" s="79" t="str">
        <ns0:v>Campos obligatorios, opcionales y asociación al usuario.</ns0:v>
      </ns0:c>
      <ns0:c r="U66" s="79" t="str">
        <ns0:v>Word 6. Referencia del plan anterior: P06.02.</ns0:v>
      </ns0:c>
      <ns0:c r="V66" s="79" t="str">
        <ns0:f t="shared" si="19">IF(OR(G66="Implementada",G66="Reportada"),IF(OR(K66="",M66="",O66=""),"Faltan datos reales","Completo"),IF(G66="Parcial",IF(OR(K66="",M66=""),"Faltan horas/inicio","En curso"),"Pendiente"))</ns0:f>
        <ns0:v>Pendiente</ns0:v>
      </ns0:c>
      <ns0:c r="W66" s="79" t="str">
        <ns0:v>Servicio protegido para publicar un objeto perdido.</ns0:v>
      </ns0:c>
      <ns0:c r="X66" s="79"/>
      <ns0:c r="Y66" s="79" t="str">
        <ns0:v>Pendiente: sin implementación atribuible.</ns0:v>
      </ns0:c>
      <ns0:c r="Z66" s="79" t="str">
        <ns0:v>Evidencias Git, fila 37</ns0:v>
      </ns0:c>
    </ns0:row>
    <ns0:row r="67" ht="100" customHeight="1">
      <ns0:c r="A67" s="79" t="str">
        <ns0:v>P06.04</ns0:v>
      </ns0:c>
      <ns0:c r="B67" s="79" t="n">
        <ns0:v>2</ns0:v>
      </ns0:c>
      <ns0:c r="C67" s="79" t="str">
        <ns0:v>Interfaz de usuario: Crear formulario de objeto perdido</ns0:v>
      </ns0:c>
      <ns0:c r="D67" s="79" t="str">
        <ns0:v>RF7; DOC16; DOC20</ns0:v>
      </ns0:c>
      <ns0:c r="E67" s="79" t="str">
        <ns0:v>P06.01, P06.02, P04.05, P04.06, P04.07, P04.08, P02.06, P06.03</ns0:v>
      </ns0:c>
      <ns0:c r="F67" s="79" t="n">
        <ns0:v>4</ns0:v>
      </ns0:c>
      <ns0:c r="G67" s="79" t="str">
        <ns0:v>Pendiente</ns0:v>
      </ns0:c>
      <ns0:c r="H67" s="97" t="str">
        <ns0:v>Alvaro</ns0:v>
      </ns0:c>
      <ns0:c r="I67" s="98" t="n">
        <ns0:v>3</ns0:v>
      </ns0:c>
      <ns0:c r="J67" s="98" t="n">
        <ns0:v>3</ns0:v>
      </ns0:c>
      <ns0:c r="K67" s="98"/>
      <ns0:c r="L67" s="99"/>
      <ns0:c r="M67" s="99"/>
      <ns0:c r="N67" s="99"/>
      <ns0:c r="O67" s="99"/>
      <ns0:c r="P67" s="79" t="str">
        <ns0:f t="shared" si="16">IF(K67="","",K67-I67)</ns0:f>
      </ns0:c>
      <ns0:c r="Q67" s="79" t="str">
        <ns0:f t="shared" si="17">IF(OR(L67="",M67=""),"",M67-L67)</ns0:f>
      </ns0:c>
      <ns0:c r="R67" s="79" t="str">
        <ns0:f t="shared" si="18">IF(OR(N67="",O67=""),"",O67-N67)</ns0:f>
      </ns0:c>
      <ns0:c r="S67" s="79" t="str">
        <ns0:v>Rojo: caso que demuestre el fallo del criterio. Verde: implementar y ejecutar la prueba. Refactorizar sin perder el verde. Pruebas de interacción y validación de interfaz.</ns0:v>
      </ns0:c>
      <ns0:c r="T67" s="79" t="str">
        <ns0:v>Nombre, tipo, lugar, fecha, categoría, descripción y opcionales.</ns0:v>
      </ns0:c>
      <ns0:c r="U67" s="79" t="str">
        <ns0:v>Word 6. Referencia del plan anterior: P06.02.</ns0:v>
      </ns0:c>
      <ns0:c r="V67" s="79" t="str">
        <ns0:f t="shared" si="19">IF(OR(G67="Implementada",G67="Reportada"),IF(OR(K67="",M67="",O67=""),"Faltan datos reales","Completo"),IF(G67="Parcial",IF(OR(K67="",M67=""),"Faltan horas/inicio","En curso"),"Pendiente"))</ns0:f>
        <ns0:v>Pendiente</ns0:v>
      </ns0:c>
      <ns0:c r="W67" s="79" t="str">
        <ns0:v>Publicación de objeto perdido desde formulario.</ns0:v>
      </ns0:c>
      <ns0:c r="X67" s="79"/>
      <ns0:c r="Y67" s="79" t="str">
        <ns0:v>Pendiente: sin implementación atribuible.</ns0:v>
      </ns0:c>
      <ns0:c r="Z67" s="79" t="str">
        <ns0:v>Evidencias Git, fila 38</ns0:v>
      </ns0:c>
    </ns0:row>
    <ns0:row r="68" ht="100" customHeight="1">
      <ns0:c r="A68" s="79" t="str">
        <ns0:v>P06.05</ns0:v>
      </ns0:c>
      <ns0:c r="B68" s="79" t="n">
        <ns0:v>2</ns0:v>
      </ns0:c>
      <ns0:c r="C68" s="79" t="str">
        <ns0:v>Seguridad: Exigir sesión y proteger creación de publicaciones</ns0:v>
      </ns0:c>
      <ns0:c r="D68" s="79" t="str">
        <ns0:v>RF7; DOC16; DOC20</ns0:v>
      </ns0:c>
      <ns0:c r="E68" s="79" t="str">
        <ns0:v>P06.01, P06.02, P04.05, P04.06, P04.07, P04.08, P02.06, P06.03</ns0:v>
      </ns0:c>
      <ns0:c r="F68" s="79" t="n">
        <ns0:v>3</ns0:v>
      </ns0:c>
      <ns0:c r="G68" s="79" t="str">
        <ns0:v>Pendiente</ns0:v>
      </ns0:c>
      <ns0:c r="H68" s="97" t="str">
        <ns0:v>Jorge</ns0:v>
      </ns0:c>
      <ns0:c r="I68" s="98" t="n">
        <ns0:v>1</ns0:v>
      </ns0:c>
      <ns0:c r="J68" s="98" t="n">
        <ns0:v>1</ns0:v>
      </ns0:c>
      <ns0:c r="K68" s="98"/>
      <ns0:c r="L68" s="99"/>
      <ns0:c r="M68" s="99"/>
      <ns0:c r="N68" s="99"/>
      <ns0:c r="O68" s="99"/>
      <ns0:c r="P68" s="79" t="str">
        <ns0:f t="shared" si="16">IF(K68="","",K68-I68)</ns0:f>
      </ns0:c>
      <ns0:c r="Q68" s="79" t="str">
        <ns0:f t="shared" si="17">IF(OR(L68="",M68=""),"",M68-L68)</ns0:f>
      </ns0:c>
      <ns0:c r="R68" s="79" t="str">
        <ns0:f t="shared" si="18">IF(OR(N68="",O68=""),"",O68-N68)</ns0:f>
      </ns0:c>
      <ns0:c r="S68" s="79" t="str">
        <ns0:v>Rojo: caso que demuestre el fallo del criterio. Verde: implementar y ejecutar la prueba. Refactorizar sin perder el verde. Casos autorizados y ataques/accesos rechazados.</ns0:v>
      </ns0:c>
      <ns0:c r="T68" s="79" t="str">
        <ns0:v>No admitir propietario manipulado ni peticiones sin autorización.</ns0:v>
      </ns0:c>
      <ns0:c r="U68" s="79" t="str">
        <ns0:v>Word 6. Referencia del plan anterior: P06.02.</ns0:v>
      </ns0:c>
      <ns0:c r="V68" s="79" t="str">
        <ns0:f t="shared" si="19">IF(OR(G68="Implementada",G68="Reportada"),IF(OR(K68="",M68="",O68=""),"Faltan datos reales","Completo"),IF(G68="Parcial",IF(OR(K68="",M68=""),"Faltan horas/inicio","En curso"),"Pendiente"))</ns0:f>
        <ns0:v>Pendiente</ns0:v>
      </ns0:c>
      <ns0:c r="W68" s="79" t="str">
        <ns0:v>Servicio protegido para publicar un objeto perdido.</ns0:v>
      </ns0:c>
      <ns0:c r="X68" s="79"/>
      <ns0:c r="Y68" s="79" t="str">
        <ns0:v>Pendiente: sin implementación atribuible.</ns0:v>
      </ns0:c>
      <ns0:c r="Z68" s="79" t="str">
        <ns0:v>Evidencias Git, fila 37</ns0:v>
      </ns0:c>
    </ns0:row>
    <ns0:row r="69" ht="100" customHeight="1">
      <ns0:c r="A69" s="79" t="str">
        <ns0:v>P06.06</ns0:v>
      </ns0:c>
      <ns0:c r="B69" s="79" t="n">
        <ns0:v>2</ns0:v>
      </ns0:c>
      <ns0:c r="C69" s="79" t="str">
        <ns0:v>Integración: Comprobar publicación de objeto perdido</ns0:v>
      </ns0:c>
      <ns0:c r="D69" s="79" t="str">
        <ns0:v>RF7; DOC16; DOC20</ns0:v>
      </ns0:c>
      <ns0:c r="E69" s="79" t="str">
        <ns0:v>P06.01, P06.02, P04.05, P04.06, P04.07, P04.08, P02.06, P06.03, P06.04, P06.05</ns0:v>
      </ns0:c>
      <ns0:c r="F69" s="79" t="n">
        <ns0:v>4</ns0:v>
      </ns0:c>
      <ns0:c r="G69" s="79" t="str">
        <ns0:v>Pendiente</ns0:v>
      </ns0:c>
      <ns0:c r="H69" s="97" t="str">
        <ns0:v>Gonzalo</ns0:v>
      </ns0:c>
      <ns0:c r="I69" s="98" t="n">
        <ns0:v>2</ns0:v>
      </ns0:c>
      <ns0:c r="J69" s="98" t="n">
        <ns0:v>2</ns0:v>
      </ns0:c>
      <ns0:c r="K69" s="98"/>
      <ns0:c r="L69" s="99"/>
      <ns0:c r="M69" s="99"/>
      <ns0:c r="N69" s="99"/>
      <ns0:c r="O69" s="99"/>
      <ns0:c r="P69" s="79" t="str">
        <ns0:f t="shared" ref="P69:P74" si="20">IF(K69="","",K69-I69)</ns0:f>
      </ns0:c>
      <ns0:c r="Q69" s="79" t="str">
        <ns0:f t="shared" ref="Q69:Q74" si="21">IF(OR(L69="",M69=""),"",M69-L69)</ns0:f>
      </ns0:c>
      <ns0:c r="R69" s="79" t="str">
        <ns0:f t="shared" ref="R69:R74" si="22">IF(OR(N69="",O69=""),"",O69-N69)</ns0:f>
      </ns0:c>
      <ns0:c r="S69" s="79" t="str">
        <ns0:v>Rojo: caso que demuestre el fallo del criterio. Verde: implementar y ejecutar la prueba. Refactorizar sin perder el verde. Comprobar componentes conectados y flujo E2E pertinente.</ns0:v>
      </ns0:c>
      <ns0:c r="T69" s="79" t="str">
        <ns0:v>Formulario válido persiste; casos inválidos no crean registros.</ns0:v>
      </ns0:c>
      <ns0:c r="U69" s="79" t="str">
        <ns0:v>Word 6. Referencia del plan anterior: P06.02.</ns0:v>
      </ns0:c>
      <ns0:c r="V69" s="79" t="str">
        <ns0:f t="shared" ref="V69:V74" si="23">IF(OR(G69="Implementada",G69="Reportada"),IF(OR(K69="",M69="",O69=""),"Faltan datos reales","Completo"),IF(G69="Parcial",IF(OR(K69="",M69=""),"Faltan horas/inicio","En curso"),"Pendiente"))</ns0:f>
        <ns0:v>Pendiente</ns0:v>
      </ns0:c>
      <ns0:c r="W69" s="79" t="str">
        <ns0:v>Publicación de objeto perdido desde formulario.</ns0:v>
      </ns0:c>
      <ns0:c r="X69" s="79"/>
      <ns0:c r="Y69" s="79" t="str">
        <ns0:v>Pendiente: sin implementación atribuible.</ns0:v>
      </ns0:c>
      <ns0:c r="Z69" s="79" t="str">
        <ns0:v>Evidencias Git, fila 38</ns0:v>
      </ns0:c>
    </ns0:row>
    <ns0:row r="70" ht="100" customHeight="1">
      <ns0:c r="A70" s="79" t="str">
        <ns0:v>P06.07</ns0:v>
      </ns0:c>
      <ns0:c r="B70" s="79" t="n">
        <ns0:v>2</ns0:v>
      </ns0:c>
      <ns0:c r="C70" s="79" t="str">
        <ns0:v>Lógica de negocio: Validar y guardar objeto encontrado</ns0:v>
      </ns0:c>
      <ns0:c r="D70" s="79" t="str">
        <ns0:v>RF8; DOC16; DOC20</ns0:v>
      </ns0:c>
      <ns0:c r="E70" s="79" t="str">
        <ns0:v>P06.03, P06.04, P06.05, P06.06</ns0:v>
      </ns0:c>
      <ns0:c r="F70" s="79" t="n">
        <ns0:v>5</ns0:v>
      </ns0:c>
      <ns0:c r="G70" s="79" t="str">
        <ns0:v>Pendiente</ns0:v>
      </ns0:c>
      <ns0:c r="H70" s="97" t="str">
        <ns0:v>Alejandro</ns0:v>
      </ns0:c>
      <ns0:c r="I70" s="98" t="n">
        <ns0:v>2</ns0:v>
      </ns0:c>
      <ns0:c r="J70" s="98" t="n">
        <ns0:v>2</ns0:v>
      </ns0:c>
      <ns0:c r="K70" s="98"/>
      <ns0:c r="L70" s="99"/>
      <ns0:c r="M70" s="99"/>
      <ns0:c r="N70" s="99"/>
      <ns0:c r="O70" s="99"/>
      <ns0:c r="P70" s="79" t="str">
        <ns0:f t="shared" si="20">IF(K70="","",K70-I70)</ns0:f>
      </ns0:c>
      <ns0:c r="Q70" s="79" t="str">
        <ns0:f t="shared" si="21">IF(OR(L70="",M70=""),"",M70-L70)</ns0:f>
      </ns0:c>
      <ns0:c r="R70" s="79" t="str">
        <ns0:f t="shared" si="22">IF(OR(N70="",O70=""),"",O70-N70)</ns0:f>
      </ns0:c>
      <ns0:c r="S70" s="79" t="str">
        <ns0:v>Rojo: caso que demuestre el fallo del criterio. Verde: implementar y ejecutar la prueba. Refactorizar sin perder el verde. Unitarias de reglas e integración donde corresponda.</ns0:v>
      </ns0:c>
      <ns0:c r="T70" s="79" t="str">
        <ns0:v>Tipo encontrado y campos propios guardados correctamente.</ns0:v>
      </ns0:c>
      <ns0:c r="U70" s="79" t="str">
        <ns0:v>Word 7. Referencia del plan anterior: P06.03.</ns0:v>
      </ns0:c>
      <ns0:c r="V70" s="79" t="str">
        <ns0:f t="shared" si="23">IF(OR(G70="Implementada",G70="Reportada"),IF(OR(K70="",M70="",O70=""),"Faltan datos reales","Completo"),IF(G70="Parcial",IF(OR(K70="",M70=""),"Faltan horas/inicio","En curso"),"Pendiente"))</ns0:f>
        <ns0:v>Pendiente</ns0:v>
      </ns0:c>
      <ns0:c r="W70" s="79" t="str">
        <ns0:v>Servicio de objeto encontrado con controles compartidos.</ns0:v>
      </ns0:c>
      <ns0:c r="X70" s="79"/>
      <ns0:c r="Y70" s="79" t="str">
        <ns0:v>Pendiente: sin implementación atribuible.</ns0:v>
      </ns0:c>
      <ns0:c r="Z70" s="79" t="str">
        <ns0:v>Evidencias Git, fila 39</ns0:v>
      </ns0:c>
    </ns0:row>
    <ns0:row r="71" ht="100" customHeight="1">
      <ns0:c r="A71" s="79" t="str">
        <ns0:v>P06.08</ns0:v>
      </ns0:c>
      <ns0:c r="B71" s="79" t="n">
        <ns0:v>2</ns0:v>
      </ns0:c>
      <ns0:c r="C71" s="79" t="str">
        <ns0:v>Interfaz de usuario: Crear formulario de objeto encontrado</ns0:v>
      </ns0:c>
      <ns0:c r="D71" s="79" t="str">
        <ns0:v>RF8; DOC16; DOC20</ns0:v>
      </ns0:c>
      <ns0:c r="E71" s="79" t="str">
        <ns0:v>P06.03, P06.04, P06.05, P06.06, P06.07</ns0:v>
      </ns0:c>
      <ns0:c r="F71" s="79" t="n">
        <ns0:v>6</ns0:v>
      </ns0:c>
      <ns0:c r="G71" s="79" t="str">
        <ns0:v>Pendiente</ns0:v>
      </ns0:c>
      <ns0:c r="H71" s="97" t="str">
        <ns0:v>Jesús</ns0:v>
      </ns0:c>
      <ns0:c r="I71" s="98" t="n">
        <ns0:v>2</ns0:v>
      </ns0:c>
      <ns0:c r="J71" s="98" t="n">
        <ns0:v>2</ns0:v>
      </ns0:c>
      <ns0:c r="K71" s="98"/>
      <ns0:c r="L71" s="99"/>
      <ns0:c r="M71" s="99"/>
      <ns0:c r="N71" s="99"/>
      <ns0:c r="O71" s="99"/>
      <ns0:c r="P71" s="79" t="str">
        <ns0:f t="shared" si="20">IF(K71="","",K71-I71)</ns0:f>
      </ns0:c>
      <ns0:c r="Q71" s="79" t="str">
        <ns0:f t="shared" si="21">IF(OR(L71="",M71=""),"",M71-L71)</ns0:f>
      </ns0:c>
      <ns0:c r="R71" s="79" t="str">
        <ns0:f t="shared" si="22">IF(OR(N71="",O71=""),"",O71-N71)</ns0:f>
      </ns0:c>
      <ns0:c r="S71" s="79" t="str">
        <ns0:v>Rojo: caso que demuestre el fallo del criterio. Verde: implementar y ejecutar la prueba. Refactorizar sin perder el verde. Pruebas de interacción y validación de interfaz.</ns0:v>
      </ns0:c>
      <ns0:c r="T71" s="79" t="str">
        <ns0:v>Campos obligatorios y detalles del hallazgo.</ns0:v>
      </ns0:c>
      <ns0:c r="U71" s="79" t="str">
        <ns0:v>Word 7. Referencia del plan anterior: P06.03.</ns0:v>
      </ns0:c>
      <ns0:c r="V71" s="79" t="str">
        <ns0:f t="shared" si="23">IF(OR(G71="Implementada",G71="Reportada"),IF(OR(K71="",M71="",O71=""),"Faltan datos reales","Completo"),IF(G71="Parcial",IF(OR(K71="",M71=""),"Faltan horas/inicio","En curso"),"Pendiente"))</ns0:f>
        <ns0:v>Pendiente</ns0:v>
      </ns0:c>
      <ns0:c r="W71" s="79" t="str">
        <ns0:v>Publicación de objeto encontrado desde formulario.</ns0:v>
      </ns0:c>
      <ns0:c r="X71" s="79"/>
      <ns0:c r="Y71" s="79" t="str">
        <ns0:v>Pendiente: sin implementación atribuible.</ns0:v>
      </ns0:c>
      <ns0:c r="Z71" s="79" t="str">
        <ns0:v>Evidencias Git, fila 40</ns0:v>
      </ns0:c>
    </ns0:row>
    <ns0:row r="72" ht="100" customHeight="1">
      <ns0:c r="A72" s="79" t="str">
        <ns0:v>P06.09</ns0:v>
      </ns0:c>
      <ns0:c r="B72" s="79" t="n">
        <ns0:v>2</ns0:v>
      </ns0:c>
      <ns0:c r="C72" s="79" t="str">
        <ns0:v>Integración: Comprobar publicación de objeto encontrado</ns0:v>
      </ns0:c>
      <ns0:c r="D72" s="79" t="str">
        <ns0:v>RF8; DOC16; DOC20</ns0:v>
      </ns0:c>
      <ns0:c r="E72" s="79" t="str">
        <ns0:v>P06.03, P06.04, P06.05, P06.06, P06.07, P06.08</ns0:v>
      </ns0:c>
      <ns0:c r="F72" s="79" t="n">
        <ns0:v>6</ns0:v>
      </ns0:c>
      <ns0:c r="G72" s="79" t="str">
        <ns0:v>Pendiente</ns0:v>
      </ns0:c>
      <ns0:c r="H72" s="97" t="str">
        <ns0:v>Alvaro</ns0:v>
      </ns0:c>
      <ns0:c r="I72" s="98" t="n">
        <ns0:v>2</ns0:v>
      </ns0:c>
      <ns0:c r="J72" s="98" t="n">
        <ns0:v>2</ns0:v>
      </ns0:c>
      <ns0:c r="K72" s="98"/>
      <ns0:c r="L72" s="99"/>
      <ns0:c r="M72" s="99"/>
      <ns0:c r="N72" s="99"/>
      <ns0:c r="O72" s="99"/>
      <ns0:c r="P72" s="79" t="str">
        <ns0:f t="shared" si="20">IF(K72="","",K72-I72)</ns0:f>
      </ns0:c>
      <ns0:c r="Q72" s="79" t="str">
        <ns0:f t="shared" si="21">IF(OR(L72="",M72=""),"",M72-L72)</ns0:f>
      </ns0:c>
      <ns0:c r="R72" s="79" t="str">
        <ns0:f t="shared" si="22">IF(OR(N72="",O72=""),"",O72-N72)</ns0:f>
      </ns0:c>
      <ns0:c r="S72" s="79" t="str">
        <ns0:v>Rojo: caso que demuestre el fallo del criterio. Verde: implementar y ejecutar la prueba. Refactorizar sin perder el verde. Comprobar componentes conectados y flujo E2E pertinente.</ns0:v>
      </ns0:c>
      <ns0:c r="T72" s="79" t="str">
        <ns0:v>Persistencia, errores y acceso solo autenticado con controles compartidos.</ns0:v>
      </ns0:c>
      <ns0:c r="U72" s="79" t="str">
        <ns0:v>Word 7. Referencia del plan anterior: P06.03.</ns0:v>
      </ns0:c>
      <ns0:c r="V72" s="79" t="str">
        <ns0:f t="shared" si="23">IF(OR(G72="Implementada",G72="Reportada"),IF(OR(K72="",M72="",O72=""),"Faltan datos reales","Completo"),IF(G72="Parcial",IF(OR(K72="",M72=""),"Faltan horas/inicio","En curso"),"Pendiente"))</ns0:f>
        <ns0:v>Pendiente</ns0:v>
      </ns0:c>
      <ns0:c r="W72" s="79" t="str">
        <ns0:v>Publicación de objeto encontrado desde formulario.</ns0:v>
      </ns0:c>
      <ns0:c r="X72" s="79"/>
      <ns0:c r="Y72" s="79" t="str">
        <ns0:v>Pendiente: sin implementación atribuible.</ns0:v>
      </ns0:c>
      <ns0:c r="Z72" s="79" t="str">
        <ns0:v>Evidencias Git, fila 40</ns0:v>
      </ns0:c>
    </ns0:row>
    <ns0:row r="73" ht="100" customHeight="1">
      <ns0:c r="A73" s="79" t="str">
        <ns0:v>P06.10</ns0:v>
      </ns0:c>
      <ns0:c r="B73" s="79" t="n">
        <ns0:v>2</ns0:v>
      </ns0:c>
      <ns0:c r="C73" s="79" t="str">
        <ns0:v>Lógica de negocio: Procesar y asociar fotografías al objeto</ns0:v>
      </ns0:c>
      <ns0:c r="D73" s="79" t="str">
        <ns0:v>RF7; RF8; DOC17</ns0:v>
      </ns0:c>
      <ns0:c r="E73" s="79" t="str">
        <ns0:v>P06.03, P06.04, P06.05, P06.06, P01.06</ns0:v>
      </ns0:c>
      <ns0:c r="F73" s="79" t="n">
        <ns0:v>7</ns0:v>
      </ns0:c>
      <ns0:c r="G73" s="79" t="str">
        <ns0:v>Pendiente</ns0:v>
      </ns0:c>
      <ns0:c r="H73" s="97" t="str">
        <ns0:v>Iñigo</ns0:v>
      </ns0:c>
      <ns0:c r="I73" s="98" t="n">
        <ns0:v>3</ns0:v>
      </ns0:c>
      <ns0:c r="J73" s="98" t="n">
        <ns0:v>3</ns0:v>
      </ns0:c>
      <ns0:c r="K73" s="98"/>
      <ns0:c r="L73" s="99"/>
      <ns0:c r="M73" s="99"/>
      <ns0:c r="N73" s="99"/>
      <ns0:c r="O73" s="99"/>
      <ns0:c r="P73" s="79" t="str">
        <ns0:f t="shared" si="20">IF(K73="","",K73-I73)</ns0:f>
      </ns0:c>
      <ns0:c r="Q73" s="79" t="str">
        <ns0:f t="shared" si="21">IF(OR(L73="",M73=""),"",M73-L73)</ns0:f>
      </ns0:c>
      <ns0:c r="R73" s="79" t="str">
        <ns0:f t="shared" si="22">IF(OR(N73="",O73=""),"",O73-N73)</ns0:f>
      </ns0:c>
      <ns0:c r="S73" s="79" t="str">
        <ns0:v>Rojo: caso que demuestre el fallo del criterio. Verde: implementar y ejecutar la prueba. Refactorizar sin perder el verde. Unitarias de reglas e integración donde corresponda.</ns0:v>
      </ns0:c>
      <ns0:c r="T73" s="79" t="str">
        <ns0:v>Procesar imagen y guardar referencia; gestionar fallos sin archivos huérfanos.</ns0:v>
      </ns0:c>
      <ns0:c r="U73" s="79" t="str">
        <ns0:v>Fotografías opcionales; multer y sharp instalados sin flujo de subida. Referencia del plan anterior: P06.04.</ns0:v>
      </ns0:c>
      <ns0:c r="V73" s="79" t="str">
        <ns0:f t="shared" si="23">IF(OR(G73="Implementada",G73="Reportada"),IF(OR(K73="",M73="",O73=""),"Faltan datos reales","Completo"),IF(G73="Parcial",IF(OR(K73="",M73=""),"Faltan horas/inicio","En curso"),"Pendiente"))</ns0:f>
        <ns0:v>Pendiente</ns0:v>
      </ns0:c>
      <ns0:c r="W73" s="79" t="str">
        <ns0:v>Servicio seguro de procesamiento de imágenes.</ns0:v>
      </ns0:c>
      <ns0:c r="X73" s="79"/>
      <ns0:c r="Y73" s="79" t="str">
        <ns0:v>Pendiente: sin implementación atribuible.</ns0:v>
      </ns0:c>
      <ns0:c r="Z73" s="79" t="str">
        <ns0:v>Evidencias Git, fila 41</ns0:v>
      </ns0:c>
    </ns0:row>
    <ns0:row r="74" ht="100" customHeight="1">
      <ns0:c r="A74" s="79" t="str">
        <ns0:v>P06.11</ns0:v>
      </ns0:c>
      <ns0:c r="B74" s="79" t="n">
        <ns0:v>2</ns0:v>
      </ns0:c>
      <ns0:c r="C74" s="79" t="str">
        <ns0:v>Interfaz de usuario: Seleccionar y mostrar fotografías</ns0:v>
      </ns0:c>
      <ns0:c r="D74" s="79" t="str">
        <ns0:v>RF7; RF8; DOC17</ns0:v>
      </ns0:c>
      <ns0:c r="E74" s="79" t="str">
        <ns0:v>P06.03, P06.04, P06.05, P06.06, P01.06, P06.10</ns0:v>
      </ns0:c>
      <ns0:c r="F74" s="79" t="n">
        <ns0:v>8</ns0:v>
      </ns0:c>
      <ns0:c r="G74" s="79" t="str">
        <ns0:v>Pendiente</ns0:v>
      </ns0:c>
      <ns0:c r="H74" s="97" t="str">
        <ns0:v>Jorge</ns0:v>
      </ns0:c>
      <ns0:c r="I74" s="98" t="n">
        <ns0:v>2</ns0:v>
      </ns0:c>
      <ns0:c r="J74" s="98" t="n">
        <ns0:v>2</ns0:v>
      </ns0:c>
      <ns0:c r="K74" s="98"/>
      <ns0:c r="L74" s="99"/>
      <ns0:c r="M74" s="99"/>
      <ns0:c r="N74" s="99"/>
      <ns0:c r="O74" s="99"/>
      <ns0:c r="P74" s="79" t="str">
        <ns0:f t="shared" si="20">IF(K74="","",K74-I74)</ns0:f>
      </ns0:c>
      <ns0:c r="Q74" s="79" t="str">
        <ns0:f t="shared" si="21">IF(OR(L74="",M74=""),"",M74-L74)</ns0:f>
      </ns0:c>
      <ns0:c r="R74" s="79" t="str">
        <ns0:f t="shared" si="22">IF(OR(N74="",O74=""),"",O74-N74)</ns0:f>
      </ns0:c>
      <ns0:c r="S74" s="79" t="str">
        <ns0:v>Rojo: caso que demuestre el fallo del criterio. Verde: implementar y ejecutar la prueba. Refactorizar sin perder el verde. Pruebas de interacción y validación de interfaz.</ns0:v>
      </ns0:c>
      <ns0:c r="T74" s="79" t="str">
        <ns0:v>Adjuntar imagen opcional y mostrar resultado.</ns0:v>
      </ns0:c>
      <ns0:c r="U74" s="79" t="str">
        <ns0:v>Fotografías opcionales; multer y sharp instalados sin flujo de subida. Referencia del plan anterior: P06.04.</ns0:v>
      </ns0:c>
      <ns0:c r="V74" s="79" t="str">
        <ns0:f t="shared" si="23">IF(OR(G74="Implementada",G74="Reportada"),IF(OR(K74="",M74="",O74=""),"Faltan datos reales","Completo"),IF(G74="Parcial",IF(OR(K74="",M74=""),"Faltan horas/inicio","En curso"),"Pendiente"))</ns0:f>
        <ns0:v>Pendiente</ns0:v>
      </ns0:c>
      <ns0:c r="W74" s="79" t="str">
        <ns0:v>Carga de fotos conectada a la interfaz.</ns0:v>
      </ns0:c>
      <ns0:c r="X74" s="79"/>
      <ns0:c r="Y74" s="79" t="str">
        <ns0:v>Pendiente: sin implementación atribuible.</ns0:v>
      </ns0:c>
      <ns0:c r="Z74" s="79" t="str">
        <ns0:v>Evidencias Git, fila 42</ns0:v>
      </ns0:c>
    </ns0:row>
    <ns0:row r="75" ht="100" customHeight="1">
      <ns0:c r="A75" s="79" t="str">
        <ns0:v>P06.12</ns0:v>
      </ns0:c>
      <ns0:c r="B75" s="79" t="n">
        <ns0:v>2</ns0:v>
      </ns0:c>
      <ns0:c r="C75" s="79" t="str">
        <ns0:v>Seguridad: Validar formato, tamaño y entrega de imágenes</ns0:v>
      </ns0:c>
      <ns0:c r="D75" s="79" t="str">
        <ns0:v>RF7; RF8; DOC17</ns0:v>
      </ns0:c>
      <ns0:c r="E75" s="79" t="str">
        <ns0:v>P06.03, P06.04, P06.05, P06.06, P01.06, P06.10</ns0:v>
      </ns0:c>
      <ns0:c r="F75" s="79" t="n">
        <ns0:v>7</ns0:v>
      </ns0:c>
      <ns0:c r="G75" s="79" t="str">
        <ns0:v>Pendiente</ns0:v>
      </ns0:c>
      <ns0:c r="H75" s="97" t="str">
        <ns0:v>Iñigo</ns0:v>
      </ns0:c>
      <ns0:c r="I75" s="98" t="n">
        <ns0:v>2</ns0:v>
      </ns0:c>
      <ns0:c r="J75" s="98" t="n">
        <ns0:v>2</ns0:v>
      </ns0:c>
      <ns0:c r="K75" s="98"/>
      <ns0:c r="L75" s="99"/>
      <ns0:c r="M75" s="99"/>
      <ns0:c r="N75" s="99"/>
      <ns0:c r="O75" s="99"/>
      <ns0:c r="P75" s="79" t="str">
        <ns0:f t="shared" ref="P75:P91" si="24">IF(K75="","",K75-I75)</ns0:f>
      </ns0:c>
      <ns0:c r="Q75" s="79" t="str">
        <ns0:f t="shared" ref="Q75:Q91" si="25">IF(OR(L75="",M75=""),"",M75-L75)</ns0:f>
      </ns0:c>
      <ns0:c r="R75" s="79" t="str">
        <ns0:f t="shared" ref="R75:R91" si="26">IF(OR(N75="",O75=""),"",O75-N75)</ns0:f>
      </ns0:c>
      <ns0:c r="S75" s="79" t="str">
        <ns0:v>Rojo: caso que demuestre el fallo del criterio. Verde: implementar y ejecutar la prueba. Refactorizar sin perder el verde. Casos autorizados y ataques/accesos rechazados.</ns0:v>
      </ns0:c>
      <ns0:c r="T75" s="79" t="str">
        <ns0:v>Rechazar archivos peligrosos o excesivos y nombres manipulados.</ns0:v>
      </ns0:c>
      <ns0:c r="U75" s="79" t="str">
        <ns0:v>Fotografías opcionales; multer y sharp instalados sin flujo de subida. Referencia del plan anterior: P06.04.</ns0:v>
      </ns0:c>
      <ns0:c r="V75" s="79" t="str">
        <ns0:f t="shared" ref="V75:V91" si="27">IF(OR(G75="Implementada",G75="Reportada"),IF(OR(K75="",M75="",O75=""),"Faltan datos reales","Completo"),IF(G75="Parcial",IF(OR(K75="",M75=""),"Faltan horas/inicio","En curso"),"Pendiente"))</ns0:f>
        <ns0:v>Pendiente</ns0:v>
      </ns0:c>
      <ns0:c r="W75" s="79" t="str">
        <ns0:v>Servicio seguro de procesamiento de imágenes.</ns0:v>
      </ns0:c>
      <ns0:c r="X75" s="79"/>
      <ns0:c r="Y75" s="79" t="str">
        <ns0:v>Pendiente: sin implementación atribuible.</ns0:v>
      </ns0:c>
      <ns0:c r="Z75" s="79" t="str">
        <ns0:v>Evidencias Git, fila 41</ns0:v>
      </ns0:c>
    </ns0:row>
    <ns0:row r="76" ht="100" customHeight="1">
      <ns0:c r="A76" s="79" t="str">
        <ns0:v>P06.13</ns0:v>
      </ns0:c>
      <ns0:c r="B76" s="79" t="n">
        <ns0:v>2</ns0:v>
      </ns0:c>
      <ns0:c r="C76" s="79" t="str">
        <ns0:v>Base de datos: Persistir detalles privados de objetos encontrados</ns0:v>
      </ns0:c>
      <ns0:c r="D76" s="79" t="str">
        <ns0:v>RF14; DOC17</ns0:v>
      </ns0:c>
      <ns0:c r="E76" s="79" t="str">
        <ns0:v>P06.07, P06.08, P06.09</ns0:v>
      </ns0:c>
      <ns0:c r="F76" s="79" t="n">
        <ns0:v>9</ns0:v>
      </ns0:c>
      <ns0:c r="G76" s="79" t="str">
        <ns0:v>Pendiente</ns0:v>
      </ns0:c>
      <ns0:c r="H76" s="97" t="str">
        <ns0:v>Alvaro</ns0:v>
      </ns0:c>
      <ns0:c r="I76" s="98" t="n">
        <ns0:v>1</ns0:v>
      </ns0:c>
      <ns0:c r="J76" s="98" t="n">
        <ns0:v>1</ns0:v>
      </ns0:c>
      <ns0:c r="K76" s="98"/>
      <ns0:c r="L76" s="99"/>
      <ns0:c r="M76" s="99"/>
      <ns0:c r="N76" s="99"/>
      <ns0:c r="O76" s="99"/>
      <ns0:c r="P76" s="79" t="str">
        <ns0:f t="shared" si="24">IF(K76="","",K76-I76)</ns0:f>
      </ns0:c>
      <ns0:c r="Q76" s="79" t="str">
        <ns0:f t="shared" si="25">IF(OR(L76="",M76=""),"",M76-L76)</ns0:f>
      </ns0:c>
      <ns0:c r="R76" s="79" t="str">
        <ns0:f t="shared" si="26">IF(OR(N76="",O76=""),"",O76-N76)</ns0:f>
      </ns0:c>
      <ns0:c r="S76" s="79" t="str">
        <ns0:v>Rojo: caso que demuestre el fallo del criterio. Verde: implementar y ejecutar la prueba. Refactorizar sin perder el verde. Pruebas de integración contra PostgreSQL.</ns0:v>
      </ns0:c>
      <ns0:c r="T76" s="79" t="str">
        <ns0:v>Campos privados asociados al objeto sin mezclarlos con la descripción pública.</ns0:v>
      </ns0:c>
      <ns0:c r="U76" s="79" t="str">
        <ns0:v>Word 7, 10 y 17. Referencia del plan anterior: P06.05.</ns0:v>
      </ns0:c>
      <ns0:c r="V76" s="79" t="str">
        <ns0:f t="shared" si="27">IF(OR(G76="Implementada",G76="Reportada"),IF(OR(K76="",M76="",O76=""),"Faltan datos reales","Completo"),IF(G76="Parcial",IF(OR(K76="",M76=""),"Faltan horas/inicio","En curso"),"Pendiente"))</ns0:f>
        <ns0:v>Pendiente</ns0:v>
      </ns0:c>
      <ns0:c r="W76" s="79" t="str">
        <ns0:v>Persistencia de detalles privados con exclusión de respuestas públicas.</ns0:v>
      </ns0:c>
      <ns0:c r="X76" s="79"/>
      <ns0:c r="Y76" s="79" t="str">
        <ns0:v>Pendiente: sin implementación atribuible.</ns0:v>
      </ns0:c>
      <ns0:c r="Z76" s="79" t="str">
        <ns0:v>Evidencias Git, fila 43</ns0:v>
      </ns0:c>
    </ns0:row>
    <ns0:row r="77" ht="100" customHeight="1">
      <ns0:c r="A77" s="79" t="str">
        <ns0:v>P06.14</ns0:v>
      </ns0:c>
      <ns0:c r="B77" s="79" t="n">
        <ns0:v>2</ns0:v>
      </ns0:c>
      <ns0:c r="C77" s="79" t="str">
        <ns0:v>Interfaz de usuario: Recoger detalles privados en publicación</ns0:v>
      </ns0:c>
      <ns0:c r="D77" s="79" t="str">
        <ns0:v>RF14; DOC17</ns0:v>
      </ns0:c>
      <ns0:c r="E77" s="79" t="str">
        <ns0:v>P06.07, P06.08, P06.09, P06.13</ns0:v>
      </ns0:c>
      <ns0:c r="F77" s="79" t="n">
        <ns0:v>10</ns0:v>
      </ns0:c>
      <ns0:c r="G77" s="79" t="str">
        <ns0:v>Pendiente</ns0:v>
      </ns0:c>
      <ns0:c r="H77" s="97" t="str">
        <ns0:v>Iñigo</ns0:v>
      </ns0:c>
      <ns0:c r="I77" s="98" t="n">
        <ns0:v>1</ns0:v>
      </ns0:c>
      <ns0:c r="J77" s="98" t="n">
        <ns0:v>1</ns0:v>
      </ns0:c>
      <ns0:c r="K77" s="98"/>
      <ns0:c r="L77" s="99"/>
      <ns0:c r="M77" s="99"/>
      <ns0:c r="N77" s="99"/>
      <ns0:c r="O77" s="99"/>
      <ns0:c r="P77" s="79" t="str">
        <ns0:f t="shared" si="24">IF(K77="","",K77-I77)</ns0:f>
      </ns0:c>
      <ns0:c r="Q77" s="79" t="str">
        <ns0:f t="shared" si="25">IF(OR(L77="",M77=""),"",M77-L77)</ns0:f>
      </ns0:c>
      <ns0:c r="R77" s="79" t="str">
        <ns0:f t="shared" si="26">IF(OR(N77="",O77=""),"",O77-N77)</ns0:f>
      </ns0:c>
      <ns0:c r="S77" s="79" t="str">
        <ns0:v>Rojo: caso que demuestre el fallo del criterio. Verde: implementar y ejecutar la prueba. Refactorizar sin perder el verde. Pruebas de interacción y validación de interfaz.</ns0:v>
      </ns0:c>
      <ns0:c r="T77" s="79" t="str">
        <ns0:v>Explicar qué datos solo servirán para verificar propiedad.</ns0:v>
      </ns0:c>
      <ns0:c r="U77" s="79" t="str">
        <ns0:v>Word 7, 10 y 17. Referencia del plan anterior: P06.05.</ns0:v>
      </ns0:c>
      <ns0:c r="V77" s="79" t="str">
        <ns0:f t="shared" si="27">IF(OR(G77="Implementada",G77="Reportada"),IF(OR(K77="",M77="",O77=""),"Faltan datos reales","Completo"),IF(G77="Parcial",IF(OR(K77="",M77=""),"Faltan horas/inicio","En curso"),"Pendiente"))</ns0:f>
        <ns0:v>Pendiente</ns0:v>
      </ns0:c>
      <ns0:c r="W77" s="79" t="str">
        <ns0:v>Captura de detalles privados conectada.</ns0:v>
      </ns0:c>
      <ns0:c r="X77" s="79"/>
      <ns0:c r="Y77" s="79" t="str">
        <ns0:v>Pendiente: sin implementación atribuible.</ns0:v>
      </ns0:c>
      <ns0:c r="Z77" s="79" t="str">
        <ns0:v>Evidencias Git, fila 44</ns0:v>
      </ns0:c>
    </ns0:row>
    <ns0:row r="78" ht="100" customHeight="1">
      <ns0:c r="A78" s="79" t="str">
        <ns0:v>P06.15</ns0:v>
      </ns0:c>
      <ns0:c r="B78" s="79" t="n">
        <ns0:v>2</ns0:v>
      </ns0:c>
      <ns0:c r="C78" s="79" t="str">
        <ns0:v>Seguridad: Excluir detalles privados de vistas y respuestas públicas</ns0:v>
      </ns0:c>
      <ns0:c r="D78" s="79" t="str">
        <ns0:v>RF14; DOC17</ns0:v>
      </ns0:c>
      <ns0:c r="E78" s="79" t="str">
        <ns0:v>P06.07, P06.08, P06.09, P06.13</ns0:v>
      </ns0:c>
      <ns0:c r="F78" s="79" t="n">
        <ns0:v>9</ns0:v>
      </ns0:c>
      <ns0:c r="G78" s="79" t="str">
        <ns0:v>Pendiente</ns0:v>
      </ns0:c>
      <ns0:c r="H78" s="97" t="str">
        <ns0:v>Jesús</ns0:v>
      </ns0:c>
      <ns0:c r="I78" s="98" t="n">
        <ns0:v>3</ns0:v>
      </ns0:c>
      <ns0:c r="J78" s="98" t="n">
        <ns0:v>3</ns0:v>
      </ns0:c>
      <ns0:c r="K78" s="98"/>
      <ns0:c r="L78" s="99"/>
      <ns0:c r="M78" s="99"/>
      <ns0:c r="N78" s="99"/>
      <ns0:c r="O78" s="99"/>
      <ns0:c r="P78" s="79" t="str">
        <ns0:f t="shared" si="24">IF(K78="","",K78-I78)</ns0:f>
      </ns0:c>
      <ns0:c r="Q78" s="79" t="str">
        <ns0:f t="shared" si="25">IF(OR(L78="",M78=""),"",M78-L78)</ns0:f>
      </ns0:c>
      <ns0:c r="R78" s="79" t="str">
        <ns0:f t="shared" si="26">IF(OR(N78="",O78=""),"",O78-N78)</ns0:f>
      </ns0:c>
      <ns0:c r="S78" s="79" t="str">
        <ns0:v>Rojo: caso que demuestre el fallo del criterio. Verde: implementar y ejecutar la prueba. Refactorizar sin perder el verde. Casos autorizados y ataques/accesos rechazados.</ns0:v>
      </ns0:c>
      <ns0:c r="T78" s="79" t="str">
        <ns0:v>No aparecen en HTML, búsqueda ni respuestas de consulta pública.</ns0:v>
      </ns0:c>
      <ns0:c r="U78" s="79" t="str">
        <ns0:v>Word 7, 10 y 17. Referencia del plan anterior: P06.05.</ns0:v>
      </ns0:c>
      <ns0:c r="V78" s="79" t="str">
        <ns0:f t="shared" si="27">IF(OR(G78="Implementada",G78="Reportada"),IF(OR(K78="",M78="",O78=""),"Faltan datos reales","Completo"),IF(G78="Parcial",IF(OR(K78="",M78=""),"Faltan horas/inicio","En curso"),"Pendiente"))</ns0:f>
        <ns0:v>Pendiente</ns0:v>
      </ns0:c>
      <ns0:c r="W78" s="79" t="str">
        <ns0:v>Persistencia de detalles privados con exclusión de respuestas públicas.</ns0:v>
      </ns0:c>
      <ns0:c r="X78" s="79"/>
      <ns0:c r="Y78" s="79" t="str">
        <ns0:v>Pendiente: sin implementación atribuible.</ns0:v>
      </ns0:c>
      <ns0:c r="Z78" s="79" t="str">
        <ns0:v>Evidencias Git, fila 43</ns0:v>
      </ns0:c>
    </ns0:row>
    <ns0:row r="79" ht="30" customHeight="1">
      <ns0:c r="A79" s="94" t="str">
        <ns0:v>P07</ns0:v>
      </ns0:c>
      <ns0:c r="B79" s="94" t="n">
        <ns0:v>1</ns0:v>
      </ns0:c>
      <ns0:c r="C79" s="94" t="str">
        <ns0:v>Consulta y mantenimiento de publicaciones</ns0:v>
      </ns0:c>
      <ns0:c r="D79" s="94"/>
      <ns0:c r="E79" s="94"/>
      <ns0:c r="F79" s="94"/>
      <ns0:c r="G79" s="94"/>
      <ns0:c r="H79" s="94"/>
      <ns0:c r="I79" s="95" t="n">
        <ns0:f>SUM(I80:I97)</ns0:f>
        <ns0:v>29</ns0:v>
      </ns0:c>
      <ns0:c r="J79" s="95" t="n">
        <ns0:f>SUM(J80:J97)</ns0:f>
        <ns0:v>29</ns0:v>
      </ns0:c>
      <ns0:c r="K79" s="95" t="str">
        <ns0:f>IF(COUNT(K80:K97)=0,"",SUM(K80:K97))</ns0:f>
      </ns0:c>
      <ns0:c r="L79" s="96" t="str">
        <ns0:f>IF(COUNT(L80:L97)=18,MIN(L80:L97),"")</ns0:f>
      </ns0:c>
      <ns0:c r="M79" s="96" t="str">
        <ns0:f>IF(COUNT(M80:M97)=18,MIN(M80:M97),"")</ns0:f>
      </ns0:c>
      <ns0:c r="N79" s="96" t="str">
        <ns0:f>IF(COUNT(N80:N97)=18,MAX(N80:N97),"")</ns0:f>
      </ns0:c>
      <ns0:c r="O79" s="96" t="str">
        <ns0:f>IF(COUNT(O80:O97)=18,MAX(O80:O97),"")</ns0:f>
      </ns0:c>
      <ns0:c r="S79" s="94"/>
      <ns0:c r="T79" s="94"/>
      <ns0:c r="U79" s="94"/>
      <ns0:c r="W79" s="94"/>
      <ns0:c r="X79" s="94"/>
      <ns0:c r="Y79" s="94"/>
      <ns0:c r="Z79" s="94"/>
    </ns0:row>
    <ns0:row r="80" ht="100" customHeight="1">
      <ns0:c r="A80" s="79" t="str">
        <ns0:v>P07.01</ns0:v>
      </ns0:c>
      <ns0:c r="B80" s="79" t="n">
        <ns0:v>2</ns0:v>
      </ns0:c>
      <ns0:c r="C80" s="79" t="str">
        <ns0:v>Base de datos: Consultar listado paginado de publicaciones</ns0:v>
      </ns0:c>
      <ns0:c r="D80" s="79" t="str">
        <ns0:v>RF9; DOC18</ns0:v>
      </ns0:c>
      <ns0:c r="E80" s="79" t="str">
        <ns0:v>P06.07, P06.08, P06.09</ns0:v>
      </ns0:c>
      <ns0:c r="F80" s="79" t="n">
        <ns0:v>1</ns0:v>
      </ns0:c>
      <ns0:c r="G80" s="79" t="str">
        <ns0:v>Pendiente</ns0:v>
      </ns0:c>
      <ns0:c r="H80" s="97" t="str">
        <ns0:v>Gonzalo</ns0:v>
      </ns0:c>
      <ns0:c r="I80" s="98" t="n">
        <ns0:v>2</ns0:v>
      </ns0:c>
      <ns0:c r="J80" s="98" t="n">
        <ns0:v>2</ns0:v>
      </ns0:c>
      <ns0:c r="K80" s="98"/>
      <ns0:c r="L80" s="99"/>
      <ns0:c r="M80" s="99"/>
      <ns0:c r="N80" s="99"/>
      <ns0:c r="O80" s="99"/>
      <ns0:c r="P80" s="79" t="str">
        <ns0:f t="shared" si="24">IF(K80="","",K80-I80)</ns0:f>
      </ns0:c>
      <ns0:c r="Q80" s="79" t="str">
        <ns0:f t="shared" si="25">IF(OR(L80="",M80=""),"",M80-L80)</ns0:f>
      </ns0:c>
      <ns0:c r="R80" s="79" t="str">
        <ns0:f t="shared" si="26">IF(OR(N80="",O80=""),"",O80-N80)</ns0:f>
      </ns0:c>
      <ns0:c r="S80" s="79" t="str">
        <ns0:v>Rojo: caso que demuestre el fallo del criterio. Verde: implementar y ejecutar la prueba. Refactorizar sin perder el verde. Pruebas de integración contra PostgreSQL.</ns0:v>
      </ns0:c>
      <ns0:c r="T80" s="79" t="str">
        <ns0:v>Orden estable, límite y selección solo de campos públicos.</ns0:v>
      </ns0:c>
      <ns0:c r="U80" s="79" t="str">
        <ns0:v>La portada actual filtra únicamente ejemplos. Referencia del plan anterior: P07.01.</ns0:v>
      </ns0:c>
      <ns0:c r="V80" s="79" t="str">
        <ns0:f t="shared" si="27">IF(OR(G80="Implementada",G80="Reportada"),IF(OR(K80="",M80="",O80=""),"Faltan datos reales","Completo"),IF(G80="Parcial",IF(OR(K80="",M80=""),"Faltan horas/inicio","En curso"),"Pendiente"))</ns0:f>
        <ns0:v>Pendiente</ns0:v>
      </ns0:c>
      <ns0:c r="W80" s="79" t="str">
        <ns0:v>Consulta paginada y servicio de listado para consumidores.</ns0:v>
      </ns0:c>
      <ns0:c r="X80" s="79"/>
      <ns0:c r="Y80" s="79" t="str">
        <ns0:v>Pendiente: sin implementación atribuible.</ns0:v>
      </ns0:c>
      <ns0:c r="Z80" s="79" t="str">
        <ns0:v>Evidencias Git, fila 45</ns0:v>
      </ns0:c>
    </ns0:row>
    <ns0:row r="81" ht="100" customHeight="1">
      <ns0:c r="A81" s="79" t="str">
        <ns0:v>P07.02</ns0:v>
      </ns0:c>
      <ns0:c r="B81" s="79" t="n">
        <ns0:v>2</ns0:v>
      </ns0:c>
      <ns0:c r="C81" s="79" t="str">
        <ns0:v>Lógica de negocio: Servir páginas del listado de objetos</ns0:v>
      </ns0:c>
      <ns0:c r="D81" s="79" t="str">
        <ns0:v>RF9; DOC18</ns0:v>
      </ns0:c>
      <ns0:c r="E81" s="79" t="str">
        <ns0:v>P06.07, P06.08, P06.09, P07.01</ns0:v>
      </ns0:c>
      <ns0:c r="F81" s="79" t="n">
        <ns0:v>1</ns0:v>
      </ns0:c>
      <ns0:c r="G81" s="79" t="str">
        <ns0:v>Pendiente</ns0:v>
      </ns0:c>
      <ns0:c r="H81" s="97" t="str">
        <ns0:v>Alejandro</ns0:v>
      </ns0:c>
      <ns0:c r="I81" s="98" t="n">
        <ns0:v>2</ns0:v>
      </ns0:c>
      <ns0:c r="J81" s="98" t="n">
        <ns0:v>2</ns0:v>
      </ns0:c>
      <ns0:c r="K81" s="98"/>
      <ns0:c r="L81" s="99"/>
      <ns0:c r="M81" s="99"/>
      <ns0:c r="N81" s="99"/>
      <ns0:c r="O81" s="99"/>
      <ns0:c r="P81" s="79" t="str">
        <ns0:f t="shared" si="24">IF(K81="","",K81-I81)</ns0:f>
      </ns0:c>
      <ns0:c r="Q81" s="79" t="str">
        <ns0:f t="shared" si="25">IF(OR(L81="",M81=""),"",M81-L81)</ns0:f>
      </ns0:c>
      <ns0:c r="R81" s="79" t="str">
        <ns0:f t="shared" si="26">IF(OR(N81="",O81=""),"",O81-N81)</ns0:f>
      </ns0:c>
      <ns0:c r="S81" s="79" t="str">
        <ns0:v>Rojo: caso que demuestre el fallo del criterio. Verde: implementar y ejecutar la prueba. Refactorizar sin perder el verde. Unitarias de reglas e integración donde corresponda.</ns0:v>
      </ns0:c>
      <ns0:c r="T81" s="79" t="str">
        <ns0:v>Validar paginación y devolver resultados reales.</ns0:v>
      </ns0:c>
      <ns0:c r="U81" s="79" t="str">
        <ns0:v>La portada actual filtra únicamente ejemplos. Referencia del plan anterior: P07.01.</ns0:v>
      </ns0:c>
      <ns0:c r="V81" s="79" t="str">
        <ns0:f t="shared" si="27">IF(OR(G81="Implementada",G81="Reportada"),IF(OR(K81="",M81="",O81=""),"Faltan datos reales","Completo"),IF(G81="Parcial",IF(OR(K81="",M81=""),"Faltan horas/inicio","En curso"),"Pendiente"))</ns0:f>
        <ns0:v>Pendiente</ns0:v>
      </ns0:c>
      <ns0:c r="W81" s="79" t="str">
        <ns0:v>Consulta paginada y servicio de listado para consumidores.</ns0:v>
      </ns0:c>
      <ns0:c r="X81" s="79"/>
      <ns0:c r="Y81" s="79" t="str">
        <ns0:v>Pendiente: sin implementación atribuible.</ns0:v>
      </ns0:c>
      <ns0:c r="Z81" s="79" t="str">
        <ns0:v>Evidencias Git, fila 45</ns0:v>
      </ns0:c>
    </ns0:row>
    <ns0:row r="82" ht="100" customHeight="1">
      <ns0:c r="A82" s="79" t="str">
        <ns0:v>P07.03</ns0:v>
      </ns0:c>
      <ns0:c r="B82" s="79" t="n">
        <ns0:v>2</ns0:v>
      </ns0:c>
      <ns0:c r="C82" s="79" t="str">
        <ns0:v>Interfaz de usuario: Sustituir ejemplos por tarjetas de objetos reales</ns0:v>
      </ns0:c>
      <ns0:c r="D82" s="79" t="str">
        <ns0:v>RF9; DOC18</ns0:v>
      </ns0:c>
      <ns0:c r="E82" s="79" t="str">
        <ns0:v>P06.07, P06.08, P06.09, P07.01, P07.02</ns0:v>
      </ns0:c>
      <ns0:c r="F82" s="79" t="n">
        <ns0:v>2</ns0:v>
      </ns0:c>
      <ns0:c r="G82" s="79" t="str">
        <ns0:v>Pendiente</ns0:v>
      </ns0:c>
      <ns0:c r="H82" s="97" t="str">
        <ns0:v>Jesús</ns0:v>
      </ns0:c>
      <ns0:c r="I82" s="98" t="n">
        <ns0:v>2</ns0:v>
      </ns0:c>
      <ns0:c r="J82" s="98" t="n">
        <ns0:v>2</ns0:v>
      </ns0:c>
      <ns0:c r="K82" s="98"/>
      <ns0:c r="L82" s="99"/>
      <ns0:c r="M82" s="99"/>
      <ns0:c r="N82" s="99"/>
      <ns0:c r="O82" s="99"/>
      <ns0:c r="P82" s="79" t="str">
        <ns0:f t="shared" si="24">IF(K82="","",K82-I82)</ns0:f>
      </ns0:c>
      <ns0:c r="Q82" s="79" t="str">
        <ns0:f t="shared" si="25">IF(OR(L82="",M82=""),"",M82-L82)</ns0:f>
      </ns0:c>
      <ns0:c r="R82" s="79" t="str">
        <ns0:f t="shared" si="26">IF(OR(N82="",O82=""),"",O82-N82)</ns0:f>
      </ns0:c>
      <ns0:c r="S82" s="79" t="str">
        <ns0:v>Rojo: caso que demuestre el fallo del criterio. Verde: implementar y ejecutar la prueba. Refactorizar sin perder el verde. Pruebas de interacción y validación de interfaz.</ns0:v>
      </ns0:c>
      <ns0:c r="T82" s="79" t="str">
        <ns0:v>Listado, navegación de páginas y estado sin publicaciones.</ns0:v>
      </ns0:c>
      <ns0:c r="U82" s="79" t="str">
        <ns0:v>La portada actual filtra únicamente ejemplos. Referencia del plan anterior: P07.01.</ns0:v>
      </ns0:c>
      <ns0:c r="V82" s="79" t="str">
        <ns0:f t="shared" si="27">IF(OR(G82="Implementada",G82="Reportada"),IF(OR(K82="",M82="",O82=""),"Faltan datos reales","Completo"),IF(G82="Parcial",IF(OR(K82="",M82=""),"Faltan horas/inicio","En curso"),"Pendiente"))</ns0:f>
        <ns0:v>Pendiente</ns0:v>
      </ns0:c>
      <ns0:c r="W82" s="79" t="str">
        <ns0:v>Listado real visible en la portada.</ns0:v>
      </ns0:c>
      <ns0:c r="X82" s="79"/>
      <ns0:c r="Y82" s="79" t="str">
        <ns0:v>Pendiente: sin implementación atribuible.</ns0:v>
      </ns0:c>
      <ns0:c r="Z82" s="79" t="str">
        <ns0:v>Evidencias Git, fila 46</ns0:v>
      </ns0:c>
    </ns0:row>
    <ns0:row r="83" ht="100" customHeight="1">
      <ns0:c r="A83" s="79" t="str">
        <ns0:v>P07.04</ns0:v>
      </ns0:c>
      <ns0:c r="B83" s="79" t="n">
        <ns0:v>2</ns0:v>
      </ns0:c>
      <ns0:c r="C83" s="79" t="str">
        <ns0:v>Lógica de negocio: Consultar detalle público por identificador</ns0:v>
      </ns0:c>
      <ns0:c r="D83" s="79" t="str">
        <ns0:v>RF21; DOC17</ns0:v>
      </ns0:c>
      <ns0:c r="E83" s="79" t="str">
        <ns0:v>P07.01, P07.02, P07.03, P06.13, P06.14, P06.15</ns0:v>
      </ns0:c>
      <ns0:c r="F83" s="79" t="n">
        <ns0:v>3</ns0:v>
      </ns0:c>
      <ns0:c r="G83" s="79" t="str">
        <ns0:v>Pendiente</ns0:v>
      </ns0:c>
      <ns0:c r="H83" s="97" t="str">
        <ns0:v>Alvaro</ns0:v>
      </ns0:c>
      <ns0:c r="I83" s="98" t="n">
        <ns0:v>2</ns0:v>
      </ns0:c>
      <ns0:c r="J83" s="98" t="n">
        <ns0:v>2</ns0:v>
      </ns0:c>
      <ns0:c r="K83" s="98"/>
      <ns0:c r="L83" s="99"/>
      <ns0:c r="M83" s="99"/>
      <ns0:c r="N83" s="99"/>
      <ns0:c r="O83" s="99"/>
      <ns0:c r="P83" s="79" t="str">
        <ns0:f t="shared" si="24">IF(K83="","",K83-I83)</ns0:f>
      </ns0:c>
      <ns0:c r="Q83" s="79" t="str">
        <ns0:f t="shared" si="25">IF(OR(L83="",M83=""),"",M83-L83)</ns0:f>
      </ns0:c>
      <ns0:c r="R83" s="79" t="str">
        <ns0:f t="shared" si="26">IF(OR(N83="",O83=""),"",O83-N83)</ns0:f>
      </ns0:c>
      <ns0:c r="S83" s="79" t="str">
        <ns0:v>Rojo: caso que demuestre el fallo del criterio. Verde: implementar y ejecutar la prueba. Refactorizar sin perder el verde. Unitarias de reglas e integración donde corresponda.</ns0:v>
      </ns0:c>
      <ns0:c r="T83" s="79" t="str">
        <ns0:v>Datos públicos y error de objeto inexistente.</ns0:v>
      </ns0:c>
      <ns0:c r="U83" s="79" t="str">
        <ns0:v>Word 8. Referencia del plan anterior: P07.02.</ns0:v>
      </ns0:c>
      <ns0:c r="V83" s="79" t="str">
        <ns0:f t="shared" si="27">IF(OR(G83="Implementada",G83="Reportada"),IF(OR(K83="",M83="",O83=""),"Faltan datos reales","Completo"),IF(G83="Parcial",IF(OR(K83="",M83=""),"Faltan horas/inicio","En curso"),"Pendiente"))</ns0:f>
        <ns0:v>Pendiente</ns0:v>
      </ns0:c>
      <ns0:c r="W83" s="79" t="str">
        <ns0:v>Servicio de detalle con privacidad verificada.</ns0:v>
      </ns0:c>
      <ns0:c r="X83" s="79"/>
      <ns0:c r="Y83" s="79" t="str">
        <ns0:v>Pendiente: sin implementación atribuible.</ns0:v>
      </ns0:c>
      <ns0:c r="Z83" s="79" t="str">
        <ns0:v>Evidencias Git, fila 47</ns0:v>
      </ns0:c>
    </ns0:row>
    <ns0:row r="84" ht="100" customHeight="1">
      <ns0:c r="A84" s="79" t="str">
        <ns0:v>P07.05</ns0:v>
      </ns0:c>
      <ns0:c r="B84" s="79" t="n">
        <ns0:v>2</ns0:v>
      </ns0:c>
      <ns0:c r="C84" s="79" t="str">
        <ns0:v>Interfaz de usuario: Mostrar detalle y acciones de publicación</ns0:v>
      </ns0:c>
      <ns0:c r="D84" s="79" t="str">
        <ns0:v>RF21; DOC17</ns0:v>
      </ns0:c>
      <ns0:c r="E84" s="79" t="str">
        <ns0:v>P07.01, P07.02, P07.03, P06.13, P06.14, P06.15, P07.04</ns0:v>
      </ns0:c>
      <ns0:c r="F84" s="79" t="n">
        <ns0:v>4</ns0:v>
      </ns0:c>
      <ns0:c r="G84" s="79" t="str">
        <ns0:v>Pendiente</ns0:v>
      </ns0:c>
      <ns0:c r="H84" s="97" t="str">
        <ns0:v>Jorge</ns0:v>
      </ns0:c>
      <ns0:c r="I84" s="98" t="n">
        <ns0:v>2</ns0:v>
      </ns0:c>
      <ns0:c r="J84" s="98" t="n">
        <ns0:v>2</ns0:v>
      </ns0:c>
      <ns0:c r="K84" s="98"/>
      <ns0:c r="L84" s="99"/>
      <ns0:c r="M84" s="99"/>
      <ns0:c r="N84" s="99"/>
      <ns0:c r="O84" s="99"/>
      <ns0:c r="P84" s="79" t="str">
        <ns0:f t="shared" si="24">IF(K84="","",K84-I84)</ns0:f>
      </ns0:c>
      <ns0:c r="Q84" s="79" t="str">
        <ns0:f t="shared" si="25">IF(OR(L84="",M84=""),"",M84-L84)</ns0:f>
      </ns0:c>
      <ns0:c r="R84" s="79" t="str">
        <ns0:f t="shared" si="26">IF(OR(N84="",O84=""),"",O84-N84)</ns0:f>
      </ns0:c>
      <ns0:c r="S84" s="79" t="str">
        <ns0:v>Rojo: caso que demuestre el fallo del criterio. Verde: implementar y ejecutar la prueba. Refactorizar sin perder el verde. Pruebas de interacción y validación de interfaz.</ns0:v>
      </ns0:c>
      <ns0:c r="T84" s="79" t="str">
        <ns0:v>Imagen, ubicación, estado y acciones disponibles.</ns0:v>
      </ns0:c>
      <ns0:c r="U84" s="79" t="str">
        <ns0:v>Word 8. Referencia del plan anterior: P07.02.</ns0:v>
      </ns0:c>
      <ns0:c r="V84" s="79" t="str">
        <ns0:f t="shared" si="27">IF(OR(G84="Implementada",G84="Reportada"),IF(OR(K84="",M84="",O84=""),"Faltan datos reales","Completo"),IF(G84="Parcial",IF(OR(K84="",M84=""),"Faltan horas/inicio","En curso"),"Pendiente"))</ns0:f>
        <ns0:v>Pendiente</ns0:v>
      </ns0:c>
      <ns0:c r="W84" s="79" t="str">
        <ns0:v>Página de detalle conectada.</ns0:v>
      </ns0:c>
      <ns0:c r="X84" s="79"/>
      <ns0:c r="Y84" s="79" t="str">
        <ns0:v>Pendiente: sin implementación atribuible.</ns0:v>
      </ns0:c>
      <ns0:c r="Z84" s="79" t="str">
        <ns0:v>Evidencias Git, fila 48</ns0:v>
      </ns0:c>
    </ns0:row>
    <ns0:row r="85" ht="100" customHeight="1">
      <ns0:c r="A85" s="79" t="str">
        <ns0:v>P07.06</ns0:v>
      </ns0:c>
      <ns0:c r="B85" s="79" t="n">
        <ns0:v>2</ns0:v>
      </ns0:c>
      <ns0:c r="C85" s="79" t="str">
        <ns0:v>Seguridad: Revisar exposición de datos en detalle público</ns0:v>
      </ns0:c>
      <ns0:c r="D85" s="79" t="str">
        <ns0:v>RF21; DOC17</ns0:v>
      </ns0:c>
      <ns0:c r="E85" s="79" t="str">
        <ns0:v>P07.01, P07.02, P07.03, P06.13, P06.14, P06.15, P07.04</ns0:v>
      </ns0:c>
      <ns0:c r="F85" s="79" t="n">
        <ns0:v>3</ns0:v>
      </ns0:c>
      <ns0:c r="G85" s="79" t="str">
        <ns0:v>Pendiente</ns0:v>
      </ns0:c>
      <ns0:c r="H85" s="97" t="str">
        <ns0:v>Gonzalo</ns0:v>
      </ns0:c>
      <ns0:c r="I85" s="98" t="n">
        <ns0:v>1</ns0:v>
      </ns0:c>
      <ns0:c r="J85" s="98" t="n">
        <ns0:v>1</ns0:v>
      </ns0:c>
      <ns0:c r="K85" s="98"/>
      <ns0:c r="L85" s="99"/>
      <ns0:c r="M85" s="99"/>
      <ns0:c r="N85" s="99"/>
      <ns0:c r="O85" s="99"/>
      <ns0:c r="P85" s="79" t="str">
        <ns0:f t="shared" si="24">IF(K85="","",K85-I85)</ns0:f>
      </ns0:c>
      <ns0:c r="Q85" s="79" t="str">
        <ns0:f t="shared" si="25">IF(OR(L85="",M85=""),"",M85-L85)</ns0:f>
      </ns0:c>
      <ns0:c r="R85" s="79" t="str">
        <ns0:f t="shared" si="26">IF(OR(N85="",O85=""),"",O85-N85)</ns0:f>
      </ns0:c>
      <ns0:c r="S85" s="79" t="str">
        <ns0:v>Rojo: caso que demuestre el fallo del criterio. Verde: implementar y ejecutar la prueba. Refactorizar sin perder el verde. Casos autorizados y ataques/accesos rechazados.</ns0:v>
      </ns0:c>
      <ns0:c r="T85" s="79" t="str">
        <ns0:v>No revelar detalles ocultos ni datos personales innecesarios.</ns0:v>
      </ns0:c>
      <ns0:c r="U85" s="79" t="str">
        <ns0:v>Word 8. Referencia del plan anterior: P07.02.</ns0:v>
      </ns0:c>
      <ns0:c r="V85" s="79" t="str">
        <ns0:f t="shared" si="27">IF(OR(G85="Implementada",G85="Reportada"),IF(OR(K85="",M85="",O85=""),"Faltan datos reales","Completo"),IF(G85="Parcial",IF(OR(K85="",M85=""),"Faltan horas/inicio","En curso"),"Pendiente"))</ns0:f>
        <ns0:v>Pendiente</ns0:v>
      </ns0:c>
      <ns0:c r="W85" s="79" t="str">
        <ns0:v>Servicio de detalle con privacidad verificada.</ns0:v>
      </ns0:c>
      <ns0:c r="X85" s="79"/>
      <ns0:c r="Y85" s="79" t="str">
        <ns0:v>Pendiente: sin implementación atribuible.</ns0:v>
      </ns0:c>
      <ns0:c r="Z85" s="79" t="str">
        <ns0:v>Evidencias Git, fila 47</ns0:v>
      </ns0:c>
    </ns0:row>
    <ns0:row r="86" ht="100" customHeight="1">
      <ns0:c r="A86" s="79" t="str">
        <ns0:v>P07.07</ns0:v>
      </ns0:c>
      <ns0:c r="B86" s="79" t="n">
        <ns0:v>2</ns0:v>
      </ns0:c>
      <ns0:c r="C86" s="79" t="str">
        <ns0:v>Base de datos: Construir consultas parametrizadas de filtros</ns0:v>
      </ns0:c>
      <ns0:c r="D86" s="79" t="str">
        <ns0:v>RF10; DOC18</ns0:v>
      </ns0:c>
      <ns0:c r="E86" s="79" t="str">
        <ns0:v>P07.01, P07.02, P07.03</ns0:v>
      </ns0:c>
      <ns0:c r="F86" s="79" t="n">
        <ns0:v>5</ns0:v>
      </ns0:c>
      <ns0:c r="G86" s="79" t="str">
        <ns0:v>Pendiente</ns0:v>
      </ns0:c>
      <ns0:c r="H86" s="97" t="str">
        <ns0:v>Alvaro</ns0:v>
      </ns0:c>
      <ns0:c r="I86" s="98" t="n">
        <ns0:v>3</ns0:v>
      </ns0:c>
      <ns0:c r="J86" s="98" t="n">
        <ns0:v>3</ns0:v>
      </ns0:c>
      <ns0:c r="K86" s="98"/>
      <ns0:c r="L86" s="99"/>
      <ns0:c r="M86" s="99"/>
      <ns0:c r="N86" s="99"/>
      <ns0:c r="O86" s="99"/>
      <ns0:c r="P86" s="79" t="str">
        <ns0:f t="shared" si="24">IF(K86="","",K86-I86)</ns0:f>
      </ns0:c>
      <ns0:c r="Q86" s="79" t="str">
        <ns0:f t="shared" si="25">IF(OR(L86="",M86=""),"",M86-L86)</ns0:f>
      </ns0:c>
      <ns0:c r="R86" s="79" t="str">
        <ns0:f t="shared" si="26">IF(OR(N86="",O86=""),"",O86-N86)</ns0:f>
      </ns0:c>
      <ns0:c r="S86" s="79" t="str">
        <ns0:v>Rojo: caso que demuestre el fallo del criterio. Verde: implementar y ejecutar la prueba. Refactorizar sin perder el verde. Pruebas de integración contra PostgreSQL.</ns0:v>
      </ns0:c>
      <ns0:c r="T86" s="79" t="str">
        <ns0:v>Combinar categoría, lugar, fecha, marca y tipo; paginación coherente.</ns0:v>
      </ns0:c>
      <ns0:c r="U86" s="79" t="str">
        <ns0:v>Word 8. Referencia del plan anterior: P07.03.</ns0:v>
      </ns0:c>
      <ns0:c r="V86" s="79" t="str">
        <ns0:f t="shared" si="27">IF(OR(G86="Implementada",G86="Reportada"),IF(OR(K86="",M86="",O86=""),"Faltan datos reales","Completo"),IF(G86="Parcial",IF(OR(K86="",M86=""),"Faltan horas/inicio","En curso"),"Pendiente"))</ns0:f>
        <ns0:v>Pendiente</ns0:v>
      </ns0:c>
      <ns0:c r="W86" s="79" t="str">
        <ns0:v>Consultas parametrizadas y servicio de filtros.</ns0:v>
      </ns0:c>
      <ns0:c r="X86" s="79"/>
      <ns0:c r="Y86" s="79" t="str">
        <ns0:v>Pendiente: sin implementación atribuible.</ns0:v>
      </ns0:c>
      <ns0:c r="Z86" s="79" t="str">
        <ns0:v>Evidencias Git, fila 49</ns0:v>
      </ns0:c>
    </ns0:row>
    <ns0:row r="87" ht="100" customHeight="1">
      <ns0:c r="A87" s="79" t="str">
        <ns0:v>P07.08</ns0:v>
      </ns0:c>
      <ns0:c r="B87" s="79" t="n">
        <ns0:v>2</ns0:v>
      </ns0:c>
      <ns0:c r="C87" s="79" t="str">
        <ns0:v>Lógica de negocio: Validar búsqueda y combinar filtros</ns0:v>
      </ns0:c>
      <ns0:c r="D87" s="79" t="str">
        <ns0:v>RF10; DOC18</ns0:v>
      </ns0:c>
      <ns0:c r="E87" s="79" t="str">
        <ns0:v>P07.01, P07.02, P07.03, P07.07</ns0:v>
      </ns0:c>
      <ns0:c r="F87" s="79" t="n">
        <ns0:v>5</ns0:v>
      </ns0:c>
      <ns0:c r="G87" s="79" t="str">
        <ns0:v>Pendiente</ns0:v>
      </ns0:c>
      <ns0:c r="H87" s="97" t="str">
        <ns0:v>Iñigo</ns0:v>
      </ns0:c>
      <ns0:c r="I87" s="98" t="n">
        <ns0:v>2</ns0:v>
      </ns0:c>
      <ns0:c r="J87" s="98" t="n">
        <ns0:v>2</ns0:v>
      </ns0:c>
      <ns0:c r="K87" s="98"/>
      <ns0:c r="L87" s="99"/>
      <ns0:c r="M87" s="99"/>
      <ns0:c r="N87" s="99"/>
      <ns0:c r="O87" s="99"/>
      <ns0:c r="P87" s="79" t="str">
        <ns0:f t="shared" si="24">IF(K87="","",K87-I87)</ns0:f>
      </ns0:c>
      <ns0:c r="Q87" s="79" t="str">
        <ns0:f t="shared" si="25">IF(OR(L87="",M87=""),"",M87-L87)</ns0:f>
      </ns0:c>
      <ns0:c r="R87" s="79" t="str">
        <ns0:f t="shared" si="26">IF(OR(N87="",O87=""),"",O87-N87)</ns0:f>
      </ns0:c>
      <ns0:c r="S87" s="79" t="str">
        <ns0:v>Rojo: caso que demuestre el fallo del criterio. Verde: implementar y ejecutar la prueba. Refactorizar sin perder el verde. Unitarias de reglas e integración donde corresponda.</ns0:v>
      </ns0:c>
      <ns0:c r="T87" s="79" t="str">
        <ns0:v>Valores válidos, búsqueda vacía y resultados consistentes.</ns0:v>
      </ns0:c>
      <ns0:c r="U87" s="79" t="str">
        <ns0:v>Word 8. Referencia del plan anterior: P07.03.</ns0:v>
      </ns0:c>
      <ns0:c r="V87" s="79" t="str">
        <ns0:f t="shared" si="27">IF(OR(G87="Implementada",G87="Reportada"),IF(OR(K87="",M87="",O87=""),"Faltan datos reales","Completo"),IF(G87="Parcial",IF(OR(K87="",M87=""),"Faltan horas/inicio","En curso"),"Pendiente"))</ns0:f>
        <ns0:v>Pendiente</ns0:v>
      </ns0:c>
      <ns0:c r="W87" s="79" t="str">
        <ns0:v>Consultas parametrizadas y servicio de filtros.</ns0:v>
      </ns0:c>
      <ns0:c r="X87" s="79"/>
      <ns0:c r="Y87" s="79" t="str">
        <ns0:v>Pendiente: sin implementación atribuible.</ns0:v>
      </ns0:c>
      <ns0:c r="Z87" s="79" t="str">
        <ns0:v>Evidencias Git, fila 49</ns0:v>
      </ns0:c>
    </ns0:row>
    <ns0:row r="88" ht="100" customHeight="1">
      <ns0:c r="A88" s="79" t="str">
        <ns0:v>P07.09</ns0:v>
      </ns0:c>
      <ns0:c r="B88" s="79" t="n">
        <ns0:v>2</ns0:v>
      </ns0:c>
      <ns0:c r="C88" s="79" t="str">
        <ns0:v>Interfaz de usuario: Conectar buscador y filtros al listado real</ns0:v>
      </ns0:c>
      <ns0:c r="D88" s="79" t="str">
        <ns0:v>RF10; DOC18</ns0:v>
      </ns0:c>
      <ns0:c r="E88" s="79" t="str">
        <ns0:v>P07.01, P07.02, P07.03, P07.07, P07.08</ns0:v>
      </ns0:c>
      <ns0:c r="F88" s="79" t="n">
        <ns0:v>6</ns0:v>
      </ns0:c>
      <ns0:c r="G88" s="79" t="str">
        <ns0:v>Pendiente</ns0:v>
      </ns0:c>
      <ns0:c r="H88" s="97" t="str">
        <ns0:v>Gonzalo</ns0:v>
      </ns0:c>
      <ns0:c r="I88" s="98" t="n">
        <ns0:v>2</ns0:v>
      </ns0:c>
      <ns0:c r="J88" s="98" t="n">
        <ns0:v>2</ns0:v>
      </ns0:c>
      <ns0:c r="K88" s="98"/>
      <ns0:c r="L88" s="99"/>
      <ns0:c r="M88" s="99"/>
      <ns0:c r="N88" s="99"/>
      <ns0:c r="O88" s="99"/>
      <ns0:c r="P88" s="79" t="str">
        <ns0:f t="shared" si="24">IF(K88="","",K88-I88)</ns0:f>
      </ns0:c>
      <ns0:c r="Q88" s="79" t="str">
        <ns0:f t="shared" si="25">IF(OR(L88="",M88=""),"",M88-L88)</ns0:f>
      </ns0:c>
      <ns0:c r="R88" s="79" t="str">
        <ns0:f t="shared" si="26">IF(OR(N88="",O88=""),"",O88-N88)</ns0:f>
      </ns0:c>
      <ns0:c r="S88" s="79" t="str">
        <ns0:v>Rojo: caso que demuestre el fallo del criterio. Verde: implementar y ejecutar la prueba. Refactorizar sin perder el verde. Pruebas de interacción y validación de interfaz.</ns0:v>
      </ns0:c>
      <ns0:c r="T88" s="79" t="str">
        <ns0:v>Conservar selección y permitir limpiar filtros.</ns0:v>
      </ns0:c>
      <ns0:c r="U88" s="79" t="str">
        <ns0:v>Word 8. Referencia del plan anterior: P07.03.</ns0:v>
      </ns0:c>
      <ns0:c r="V88" s="79" t="str">
        <ns0:f t="shared" si="27">IF(OR(G88="Implementada",G88="Reportada"),IF(OR(K88="",M88="",O88=""),"Faltan datos reales","Completo"),IF(G88="Parcial",IF(OR(K88="",M88=""),"Faltan horas/inicio","En curso"),"Pendiente"))</ns0:f>
        <ns0:v>Pendiente</ns0:v>
      </ns0:c>
      <ns0:c r="W88" s="79" t="str">
        <ns0:v>Buscador y filtros comprobados desde interfaz.</ns0:v>
      </ns0:c>
      <ns0:c r="X88" s="79"/>
      <ns0:c r="Y88" s="79" t="str">
        <ns0:v>Pendiente: sin implementación atribuible.</ns0:v>
      </ns0:c>
      <ns0:c r="Z88" s="79" t="str">
        <ns0:v>Evidencias Git, fila 50</ns0:v>
      </ns0:c>
    </ns0:row>
    <ns0:row r="89" ht="100" customHeight="1">
      <ns0:c r="A89" s="79" t="str">
        <ns0:v>P07.10</ns0:v>
      </ns0:c>
      <ns0:c r="B89" s="79" t="n">
        <ns0:v>2</ns0:v>
      </ns0:c>
      <ns0:c r="C89" s="79" t="str">
        <ns0:v>Integración: Verificar búsqueda, filtros y paginación</ns0:v>
      </ns0:c>
      <ns0:c r="D89" s="79" t="str">
        <ns0:v>RF10; DOC18</ns0:v>
      </ns0:c>
      <ns0:c r="E89" s="79" t="str">
        <ns0:v>P07.01, P07.02, P07.03, P07.07, P07.08, P07.09</ns0:v>
      </ns0:c>
      <ns0:c r="F89" s="79" t="n">
        <ns0:v>6</ns0:v>
      </ns0:c>
      <ns0:c r="G89" s="79" t="str">
        <ns0:v>Pendiente</ns0:v>
      </ns0:c>
      <ns0:c r="H89" s="97" t="str">
        <ns0:v>Alejandro</ns0:v>
      </ns0:c>
      <ns0:c r="I89" s="98" t="n">
        <ns0:v>1</ns0:v>
      </ns0:c>
      <ns0:c r="J89" s="98" t="n">
        <ns0:v>1</ns0:v>
      </ns0:c>
      <ns0:c r="K89" s="98"/>
      <ns0:c r="L89" s="99"/>
      <ns0:c r="M89" s="99"/>
      <ns0:c r="N89" s="99"/>
      <ns0:c r="O89" s="99"/>
      <ns0:c r="P89" s="79" t="str">
        <ns0:f t="shared" si="24">IF(K89="","",K89-I89)</ns0:f>
      </ns0:c>
      <ns0:c r="Q89" s="79" t="str">
        <ns0:f t="shared" si="25">IF(OR(L89="",M89=""),"",M89-L89)</ns0:f>
      </ns0:c>
      <ns0:c r="R89" s="79" t="str">
        <ns0:f t="shared" si="26">IF(OR(N89="",O89=""),"",O89-N89)</ns0:f>
      </ns0:c>
      <ns0:c r="S89" s="79" t="str">
        <ns0:v>Rojo: caso que demuestre el fallo del criterio. Verde: implementar y ejecutar la prueba. Refactorizar sin perder el verde. Comprobar componentes conectados y flujo E2E pertinente.</ns0:v>
      </ns0:c>
      <ns0:c r="T89" s="79" t="str">
        <ns0:v>Combinaciones con resultados y sin resultados en datos de prueba.</ns0:v>
      </ns0:c>
      <ns0:c r="U89" s="79" t="str">
        <ns0:v>Word 8. Referencia del plan anterior: P07.03.</ns0:v>
      </ns0:c>
      <ns0:c r="V89" s="79" t="str">
        <ns0:f t="shared" si="27">IF(OR(G89="Implementada",G89="Reportada"),IF(OR(K89="",M89="",O89=""),"Faltan datos reales","Completo"),IF(G89="Parcial",IF(OR(K89="",M89=""),"Faltan horas/inicio","En curso"),"Pendiente"))</ns0:f>
        <ns0:v>Pendiente</ns0:v>
      </ns0:c>
      <ns0:c r="W89" s="79" t="str">
        <ns0:v>Buscador y filtros comprobados desde interfaz.</ns0:v>
      </ns0:c>
      <ns0:c r="X89" s="79"/>
      <ns0:c r="Y89" s="79" t="str">
        <ns0:v>Pendiente: sin implementación atribuible.</ns0:v>
      </ns0:c>
      <ns0:c r="Z89" s="79" t="str">
        <ns0:v>Evidencias Git, fila 50</ns0:v>
      </ns0:c>
    </ns0:row>
    <ns0:row r="90" ht="100" customHeight="1">
      <ns0:c r="A90" s="79" t="str">
        <ns0:v>P07.11</ns0:v>
      </ns0:c>
      <ns0:c r="B90" s="79" t="n">
        <ns0:v>2</ns0:v>
      </ns0:c>
      <ns0:c r="C90" s="79" t="str">
        <ns0:v>Lógica de negocio: Validar y guardar edición de publicaciones</ns0:v>
      </ns0:c>
      <ns0:c r="D90" s="79" t="str">
        <ns0:v>RF22; DOC20</ns0:v>
      </ns0:c>
      <ns0:c r="E90" s="79" t="str">
        <ns0:v>P07.04, P07.05, P07.06, P06.10, P06.11, P06.12</ns0:v>
      </ns0:c>
      <ns0:c r="F90" s="79" t="n">
        <ns0:v>7</ns0:v>
      </ns0:c>
      <ns0:c r="G90" s="79" t="str">
        <ns0:v>Pendiente</ns0:v>
      </ns0:c>
      <ns0:c r="H90" s="97" t="str">
        <ns0:v>Alejandro</ns0:v>
      </ns0:c>
      <ns0:c r="I90" s="98" t="n">
        <ns0:v>2</ns0:v>
      </ns0:c>
      <ns0:c r="J90" s="98" t="n">
        <ns0:v>2</ns0:v>
      </ns0:c>
      <ns0:c r="K90" s="98"/>
      <ns0:c r="L90" s="99"/>
      <ns0:c r="M90" s="99"/>
      <ns0:c r="N90" s="99"/>
      <ns0:c r="O90" s="99"/>
      <ns0:c r="P90" s="79" t="str">
        <ns0:f t="shared" si="24">IF(K90="","",K90-I90)</ns0:f>
      </ns0:c>
      <ns0:c r="Q90" s="79" t="str">
        <ns0:f t="shared" si="25">IF(OR(L90="",M90=""),"",M90-L90)</ns0:f>
      </ns0:c>
      <ns0:c r="R90" s="79" t="str">
        <ns0:f t="shared" si="26">IF(OR(N90="",O90=""),"",O90-N90)</ns0:f>
      </ns0:c>
      <ns0:c r="S90" s="79" t="str">
        <ns0:v>Rojo: caso que demuestre el fallo del criterio. Verde: implementar y ejecutar la prueba. Refactorizar sin perder el verde. Unitarias de reglas e integración donde corresponda.</ns0:v>
      </ns0:c>
      <ns0:c r="T90" s="79" t="str">
        <ns0:v>Actualizar campos permitidos y fotografía de forma coherente.</ns0:v>
      </ns0:c>
      <ns0:c r="U90" s="79" t="str">
        <ns0:v>Catálogo RF22; Word 20 solo define permisos. Referencia del plan anterior: P07.04.</ns0:v>
      </ns0:c>
      <ns0:c r="V90" s="79" t="str">
        <ns0:f t="shared" si="27">IF(OR(G90="Implementada",G90="Reportada"),IF(OR(K90="",M90="",O90=""),"Faltan datos reales","Completo"),IF(G90="Parcial",IF(OR(K90="",M90=""),"Faltan horas/inicio","En curso"),"Pendiente"))</ns0:f>
        <ns0:v>Pendiente</ns0:v>
      </ns0:c>
      <ns0:c r="W90" s="79" t="str">
        <ns0:v>Edición autorizada de publicaciones mediante servicio.</ns0:v>
      </ns0:c>
      <ns0:c r="X90" s="79"/>
      <ns0:c r="Y90" s="79" t="str">
        <ns0:v>Pendiente: sin implementación atribuible.</ns0:v>
      </ns0:c>
      <ns0:c r="Z90" s="79" t="str">
        <ns0:v>Evidencias Git, fila 51</ns0:v>
      </ns0:c>
    </ns0:row>
    <ns0:row r="91" ht="100" customHeight="1">
      <ns0:c r="A91" s="79" t="str">
        <ns0:v>P07.12</ns0:v>
      </ns0:c>
      <ns0:c r="B91" s="79" t="n">
        <ns0:v>2</ns0:v>
      </ns0:c>
      <ns0:c r="C91" s="79" t="str">
        <ns0:v>Interfaz de usuario: Crear formulario de edición de publicación</ns0:v>
      </ns0:c>
      <ns0:c r="D91" s="79" t="str">
        <ns0:v>RF22; DOC20</ns0:v>
      </ns0:c>
      <ns0:c r="E91" s="79" t="str">
        <ns0:v>P07.04, P07.05, P07.06, P06.10, P06.11, P06.12, P07.11</ns0:v>
      </ns0:c>
      <ns0:c r="F91" s="79" t="n">
        <ns0:v>8</ns0:v>
      </ns0:c>
      <ns0:c r="G91" s="79" t="str">
        <ns0:v>Pendiente</ns0:v>
      </ns0:c>
      <ns0:c r="H91" s="97" t="str">
        <ns0:v>Jesús</ns0:v>
      </ns0:c>
      <ns0:c r="I91" s="98" t="n">
        <ns0:v>1</ns0:v>
      </ns0:c>
      <ns0:c r="J91" s="98" t="n">
        <ns0:v>1</ns0:v>
      </ns0:c>
      <ns0:c r="K91" s="98"/>
      <ns0:c r="L91" s="99"/>
      <ns0:c r="M91" s="99"/>
      <ns0:c r="N91" s="99"/>
      <ns0:c r="O91" s="99"/>
      <ns0:c r="P91" s="79" t="str">
        <ns0:f t="shared" si="24">IF(K91="","",K91-I91)</ns0:f>
      </ns0:c>
      <ns0:c r="Q91" s="79" t="str">
        <ns0:f t="shared" si="25">IF(OR(L91="",M91=""),"",M91-L91)</ns0:f>
      </ns0:c>
      <ns0:c r="R91" s="79" t="str">
        <ns0:f t="shared" si="26">IF(OR(N91="",O91=""),"",O91-N91)</ns0:f>
      </ns0:c>
      <ns0:c r="S91" s="79" t="str">
        <ns0:v>Rojo: caso que demuestre el fallo del criterio. Verde: implementar y ejecutar la prueba. Refactorizar sin perder el verde. Pruebas de interacción y validación de interfaz.</ns0:v>
      </ns0:c>
      <ns0:c r="T91" s="79" t="str">
        <ns0:v>Datos existentes y confirmación de cambios.</ns0:v>
      </ns0:c>
      <ns0:c r="U91" s="79" t="str">
        <ns0:v>Catálogo RF22; Word 20 solo define permisos. Referencia del plan anterior: P07.04.</ns0:v>
      </ns0:c>
      <ns0:c r="V91" s="79" t="str">
        <ns0:f t="shared" si="27">IF(OR(G91="Implementada",G91="Reportada"),IF(OR(K91="",M91="",O91=""),"Faltan datos reales","Completo"),IF(G91="Parcial",IF(OR(K91="",M91=""),"Faltan horas/inicio","En curso"),"Pendiente"))</ns0:f>
        <ns0:v>Pendiente</ns0:v>
      </ns0:c>
      <ns0:c r="W91" s="79" t="str">
        <ns0:v>Edición completa desde formulario.</ns0:v>
      </ns0:c>
      <ns0:c r="X91" s="79"/>
      <ns0:c r="Y91" s="79" t="str">
        <ns0:v>Pendiente: sin implementación atribuible.</ns0:v>
      </ns0:c>
      <ns0:c r="Z91" s="79" t="str">
        <ns0:v>Evidencias Git, fila 52</ns0:v>
      </ns0:c>
    </ns0:row>
    <ns0:row r="92" ht="100" customHeight="1">
      <ns0:c r="A92" s="79" t="str">
        <ns0:v>P07.13</ns0:v>
      </ns0:c>
      <ns0:c r="B92" s="79" t="n">
        <ns0:v>2</ns0:v>
      </ns0:c>
      <ns0:c r="C92" s="79" t="str">
        <ns0:v>Seguridad: Autorizar edición solo al propietario</ns0:v>
      </ns0:c>
      <ns0:c r="D92" s="79" t="str">
        <ns0:v>RF22; DOC20</ns0:v>
      </ns0:c>
      <ns0:c r="E92" s="79" t="str">
        <ns0:v>P07.04, P07.05, P07.06, P06.10, P06.11, P06.12, P07.11</ns0:v>
      </ns0:c>
      <ns0:c r="F92" s="79" t="n">
        <ns0:v>7</ns0:v>
      </ns0:c>
      <ns0:c r="G92" s="79" t="str">
        <ns0:v>Pendiente</ns0:v>
      </ns0:c>
      <ns0:c r="H92" s="97" t="str">
        <ns0:v>Jorge</ns0:v>
      </ns0:c>
      <ns0:c r="I92" s="98" t="n">
        <ns0:v>1</ns0:v>
      </ns0:c>
      <ns0:c r="J92" s="98" t="n">
        <ns0:v>1</ns0:v>
      </ns0:c>
      <ns0:c r="K92" s="98"/>
      <ns0:c r="L92" s="99"/>
      <ns0:c r="M92" s="99"/>
      <ns0:c r="N92" s="99"/>
      <ns0:c r="O92" s="99"/>
      <ns0:c r="P92" s="79" t="str">
        <ns0:f>IF(K92="","",K92-I92)</ns0:f>
      </ns0:c>
      <ns0:c r="Q92" s="79" t="str">
        <ns0:f>IF(OR(L92="",M92=""),"",M92-L92)</ns0:f>
      </ns0:c>
      <ns0:c r="R92" s="79" t="str">
        <ns0:f>IF(OR(N92="",O92=""),"",O92-N92)</ns0:f>
      </ns0:c>
      <ns0:c r="S92" s="79" t="str">
        <ns0:v>Rojo: caso que demuestre el fallo del criterio. Verde: implementar y ejecutar la prueba. Refactorizar sin perder el verde. Casos autorizados y ataques/accesos rechazados.</ns0:v>
      </ns0:c>
      <ns0:c r="T92" s="79" t="str">
        <ns0:v>Rechazar usuario ajeno e identificadores manipulados.</ns0:v>
      </ns0:c>
      <ns0:c r="U92" s="79" t="str">
        <ns0:v>Catálogo RF22; Word 20 solo define permisos. Referencia del plan anterior: P07.04.</ns0:v>
      </ns0:c>
      <ns0:c r="V92" s="79" t="str">
        <ns0:f>IF(OR(G92="Implementada",G92="Reportada"),IF(OR(K92="",M92="",O92=""),"Faltan datos reales","Completo"),IF(G92="Parcial",IF(OR(K92="",M92=""),"Faltan horas/inicio","En curso"),"Pendiente"))</ns0:f>
        <ns0:v>Pendiente</ns0:v>
      </ns0:c>
      <ns0:c r="W92" s="79" t="str">
        <ns0:v>Edición autorizada de publicaciones mediante servicio.</ns0:v>
      </ns0:c>
      <ns0:c r="X92" s="79"/>
      <ns0:c r="Y92" s="79" t="str">
        <ns0:v>Pendiente: sin implementación atribuible.</ns0:v>
      </ns0:c>
      <ns0:c r="Z92" s="79" t="str">
        <ns0:v>Evidencias Git, fila 51</ns0:v>
      </ns0:c>
    </ns0:row>
    <ns0:row r="93" ht="100" customHeight="1">
      <ns0:c r="A93" s="79" t="str">
        <ns0:v>P07.14</ns0:v>
      </ns0:c>
      <ns0:c r="B93" s="79" t="n">
        <ns0:v>2</ns0:v>
      </ns0:c>
      <ns0:c r="C93" s="79" t="str">
        <ns0:v>Integración: Comprobar edición completa y persistencia</ns0:v>
      </ns0:c>
      <ns0:c r="D93" s="79" t="str">
        <ns0:v>RF22; DOC20</ns0:v>
      </ns0:c>
      <ns0:c r="E93" s="79" t="str">
        <ns0:v>P07.04, P07.05, P07.06, P06.10, P06.11, P06.12, P07.11, P07.12, P07.13</ns0:v>
      </ns0:c>
      <ns0:c r="F93" s="79" t="n">
        <ns0:v>8</ns0:v>
      </ns0:c>
      <ns0:c r="G93" s="79" t="str">
        <ns0:v>Pendiente</ns0:v>
      </ns0:c>
      <ns0:c r="H93" s="97" t="str">
        <ns0:v>Alvaro</ns0:v>
      </ns0:c>
      <ns0:c r="I93" s="98" t="n">
        <ns0:v>1</ns0:v>
      </ns0:c>
      <ns0:c r="J93" s="98" t="n">
        <ns0:v>1</ns0:v>
      </ns0:c>
      <ns0:c r="K93" s="98"/>
      <ns0:c r="L93" s="99"/>
      <ns0:c r="M93" s="99"/>
      <ns0:c r="N93" s="99"/>
      <ns0:c r="O93" s="99"/>
      <ns0:c r="P93" s="79" t="str">
        <ns0:f t="shared" ref="P93:P101" si="28">IF(K93="","",K93-I93)</ns0:f>
      </ns0:c>
      <ns0:c r="Q93" s="79" t="str">
        <ns0:f t="shared" ref="Q93:Q101" si="29">IF(OR(L93="",M93=""),"",M93-L93)</ns0:f>
      </ns0:c>
      <ns0:c r="R93" s="79" t="str">
        <ns0:f t="shared" ref="R93:R101" si="30">IF(OR(N93="",O93=""),"",O93-N93)</ns0:f>
      </ns0:c>
      <ns0:c r="S93" s="79" t="str">
        <ns0:v>Rojo: caso que demuestre el fallo del criterio. Verde: implementar y ejecutar la prueba. Refactorizar sin perder el verde. Comprobar componentes conectados y flujo E2E pertinente.</ns0:v>
      </ns0:c>
      <ns0:c r="T93" s="79" t="str">
        <ns0:v>Cambios se reflejan en detalle y listado.</ns0:v>
      </ns0:c>
      <ns0:c r="U93" s="79" t="str">
        <ns0:v>Catálogo RF22; Word 20 solo define permisos. Referencia del plan anterior: P07.04.</ns0:v>
      </ns0:c>
      <ns0:c r="V93" s="79" t="str">
        <ns0:f t="shared" ref="V93:V101" si="31">IF(OR(G93="Implementada",G93="Reportada"),IF(OR(K93="",M93="",O93=""),"Faltan datos reales","Completo"),IF(G93="Parcial",IF(OR(K93="",M93=""),"Faltan horas/inicio","En curso"),"Pendiente"))</ns0:f>
        <ns0:v>Pendiente</ns0:v>
      </ns0:c>
      <ns0:c r="W93" s="79" t="str">
        <ns0:v>Edición completa desde formulario.</ns0:v>
      </ns0:c>
      <ns0:c r="X93" s="79"/>
      <ns0:c r="Y93" s="79" t="str">
        <ns0:v>Pendiente: sin implementación atribuible.</ns0:v>
      </ns0:c>
      <ns0:c r="Z93" s="79" t="str">
        <ns0:v>Evidencias Git, fila 52</ns0:v>
      </ns0:c>
    </ns0:row>
    <ns0:row r="94" ht="100" customHeight="1">
      <ns0:c r="A94" s="79" t="str">
        <ns0:v>P07.15</ns0:v>
      </ns0:c>
      <ns0:c r="B94" s="79" t="n">
        <ns0:v>2</ns0:v>
      </ns0:c>
      <ns0:c r="C94" s="79" t="str">
        <ns0:v>Base de datos: Aplicar política de borrado y relaciones</ns0:v>
      </ns0:c>
      <ns0:c r="D94" s="79" t="str">
        <ns0:v>RF23; DOC19; DOC20</ns0:v>
      </ns0:c>
      <ns0:c r="E94" s="79" t="str">
        <ns0:v>P07.11, P07.12, P07.13, P07.14, P01.06</ns0:v>
      </ns0:c>
      <ns0:c r="F94" s="79" t="n">
        <ns0:v>9</ns0:v>
      </ns0:c>
      <ns0:c r="G94" s="79" t="str">
        <ns0:v>Pendiente</ns0:v>
      </ns0:c>
      <ns0:c r="H94" s="97" t="str">
        <ns0:v>Jesús</ns0:v>
      </ns0:c>
      <ns0:c r="I94" s="98" t="n">
        <ns0:v>2</ns0:v>
      </ns0:c>
      <ns0:c r="J94" s="98" t="n">
        <ns0:v>2</ns0:v>
      </ns0:c>
      <ns0:c r="K94" s="98"/>
      <ns0:c r="L94" s="99"/>
      <ns0:c r="M94" s="99"/>
      <ns0:c r="N94" s="99"/>
      <ns0:c r="O94" s="99"/>
      <ns0:c r="P94" s="79" t="str">
        <ns0:f t="shared" si="28">IF(K94="","",K94-I94)</ns0:f>
      </ns0:c>
      <ns0:c r="Q94" s="79" t="str">
        <ns0:f t="shared" si="29">IF(OR(L94="",M94=""),"",M94-L94)</ns0:f>
      </ns0:c>
      <ns0:c r="R94" s="79" t="str">
        <ns0:f t="shared" si="30">IF(OR(N94="",O94=""),"",O94-N94)</ns0:f>
      </ns0:c>
      <ns0:c r="S94" s="79" t="str">
        <ns0:v>Rojo: caso que demuestre el fallo del criterio. Verde: implementar y ejecutar la prueba. Refactorizar sin perder el verde. Pruebas de integración contra PostgreSQL.</ns0:v>
      </ns0:c>
      <ns0:c r="T94" s="79" t="str">
        <ns0:v>Preservar relaciones que deban mantenerse según criterio acordado.</ns0:v>
      </ns0:c>
      <ns0:c r="U94" s="79" t="str">
        <ns0:v>Catálogo RF23; política de borrado debe acordarse antes de implementar. Referencia del plan anterior: P07.05.</ns0:v>
      </ns0:c>
      <ns0:c r="V94" s="79" t="str">
        <ns0:f t="shared" si="31">IF(OR(G94="Implementada",G94="Reportada"),IF(OR(K94="",M94="",O94=""),"Faltan datos reales","Completo"),IF(G94="Parcial",IF(OR(K94="",M94=""),"Faltan horas/inicio","En curso"),"Pendiente"))</ns0:f>
        <ns0:v>Pendiente</ns0:v>
      </ns0:c>
      <ns0:c r="W94" s="79" t="str">
        <ns0:v>Retirada autorizada con integridad de datos.</ns0:v>
      </ns0:c>
      <ns0:c r="X94" s="79"/>
      <ns0:c r="Y94" s="79" t="str">
        <ns0:v>Pendiente: sin implementación atribuible.</ns0:v>
      </ns0:c>
      <ns0:c r="Z94" s="79" t="str">
        <ns0:v>Evidencias Git, fila 53</ns0:v>
      </ns0:c>
    </ns0:row>
    <ns0:row r="95" ht="100" customHeight="1">
      <ns0:c r="A95" s="79" t="str">
        <ns0:v>P07.16</ns0:v>
      </ns0:c>
      <ns0:c r="B95" s="79" t="n">
        <ns0:v>2</ns0:v>
      </ns0:c>
      <ns0:c r="C95" s="79" t="str">
        <ns0:v>Lógica de negocio: Retirar publicación de forma consistente</ns0:v>
      </ns0:c>
      <ns0:c r="D95" s="79" t="str">
        <ns0:v>RF23; DOC19; DOC20</ns0:v>
      </ns0:c>
      <ns0:c r="E95" s="79" t="str">
        <ns0:v>P07.11, P07.12, P07.13, P07.14, P01.06, P07.15</ns0:v>
      </ns0:c>
      <ns0:c r="F95" s="79" t="n">
        <ns0:v>9</ns0:v>
      </ns0:c>
      <ns0:c r="G95" s="79" t="str">
        <ns0:v>Pendiente</ns0:v>
      </ns0:c>
      <ns0:c r="H95" s="97" t="str">
        <ns0:v>Iñigo</ns0:v>
      </ns0:c>
      <ns0:c r="I95" s="98" t="n">
        <ns0:v>1</ns0:v>
      </ns0:c>
      <ns0:c r="J95" s="98" t="n">
        <ns0:v>1</ns0:v>
      </ns0:c>
      <ns0:c r="K95" s="98"/>
      <ns0:c r="L95" s="99"/>
      <ns0:c r="M95" s="99"/>
      <ns0:c r="N95" s="99"/>
      <ns0:c r="O95" s="99"/>
      <ns0:c r="P95" s="79" t="str">
        <ns0:f t="shared" si="28">IF(K95="","",K95-I95)</ns0:f>
      </ns0:c>
      <ns0:c r="Q95" s="79" t="str">
        <ns0:f t="shared" si="29">IF(OR(L95="",M95=""),"",M95-L95)</ns0:f>
      </ns0:c>
      <ns0:c r="R95" s="79" t="str">
        <ns0:f t="shared" si="30">IF(OR(N95="",O95=""),"",O95-N95)</ns0:f>
      </ns0:c>
      <ns0:c r="S95" s="79" t="str">
        <ns0:v>Rojo: caso que demuestre el fallo del criterio. Verde: implementar y ejecutar la prueba. Refactorizar sin perder el verde. Unitarias de reglas e integración donde corresponda.</ns0:v>
      </ns0:c>
      <ns0:c r="T95" s="79" t="str">
        <ns0:v>Estado final y efectos de retirada sin cambios parciales.</ns0:v>
      </ns0:c>
      <ns0:c r="U95" s="79" t="str">
        <ns0:v>Catálogo RF23; política de borrado debe acordarse antes de implementar. Referencia del plan anterior: P07.05.</ns0:v>
      </ns0:c>
      <ns0:c r="V95" s="79" t="str">
        <ns0:f t="shared" si="31">IF(OR(G95="Implementada",G95="Reportada"),IF(OR(K95="",M95="",O95=""),"Faltan datos reales","Completo"),IF(G95="Parcial",IF(OR(K95="",M95=""),"Faltan horas/inicio","En curso"),"Pendiente"))</ns0:f>
        <ns0:v>Pendiente</ns0:v>
      </ns0:c>
      <ns0:c r="W95" s="79" t="str">
        <ns0:v>Retirada autorizada con integridad de datos.</ns0:v>
      </ns0:c>
      <ns0:c r="X95" s="79"/>
      <ns0:c r="Y95" s="79" t="str">
        <ns0:v>Pendiente: sin implementación atribuible.</ns0:v>
      </ns0:c>
      <ns0:c r="Z95" s="79" t="str">
        <ns0:v>Evidencias Git, fila 53</ns0:v>
      </ns0:c>
    </ns0:row>
    <ns0:row r="96" ht="100" customHeight="1">
      <ns0:c r="A96" s="79" t="str">
        <ns0:v>P07.17</ns0:v>
      </ns0:c>
      <ns0:c r="B96" s="79" t="n">
        <ns0:v>2</ns0:v>
      </ns0:c>
      <ns0:c r="C96" s="79" t="str">
        <ns0:v>Interfaz de usuario: Confirmar retirada de publicación</ns0:v>
      </ns0:c>
      <ns0:c r="D96" s="79" t="str">
        <ns0:v>RF23; DOC19; DOC20</ns0:v>
      </ns0:c>
      <ns0:c r="E96" s="79" t="str">
        <ns0:v>P07.11, P07.12, P07.13, P07.14, P01.06, P07.15, P07.16</ns0:v>
      </ns0:c>
      <ns0:c r="F96" s="79" t="n">
        <ns0:v>10</ns0:v>
      </ns0:c>
      <ns0:c r="G96" s="79" t="str">
        <ns0:v>Pendiente</ns0:v>
      </ns0:c>
      <ns0:c r="H96" s="97" t="str">
        <ns0:v>Gonzalo</ns0:v>
      </ns0:c>
      <ns0:c r="I96" s="98" t="n">
        <ns0:v>1</ns0:v>
      </ns0:c>
      <ns0:c r="J96" s="98" t="n">
        <ns0:v>1</ns0:v>
      </ns0:c>
      <ns0:c r="K96" s="98"/>
      <ns0:c r="L96" s="99"/>
      <ns0:c r="M96" s="99"/>
      <ns0:c r="N96" s="99"/>
      <ns0:c r="O96" s="99"/>
      <ns0:c r="P96" s="79" t="str">
        <ns0:f t="shared" si="28">IF(K96="","",K96-I96)</ns0:f>
      </ns0:c>
      <ns0:c r="Q96" s="79" t="str">
        <ns0:f t="shared" si="29">IF(OR(L96="",M96=""),"",M96-L96)</ns0:f>
      </ns0:c>
      <ns0:c r="R96" s="79" t="str">
        <ns0:f t="shared" si="30">IF(OR(N96="",O96=""),"",O96-N96)</ns0:f>
      </ns0:c>
      <ns0:c r="S96" s="79" t="str">
        <ns0:v>Rojo: caso que demuestre el fallo del criterio. Verde: implementar y ejecutar la prueba. Refactorizar sin perder el verde. Pruebas de interacción y validación de interfaz.</ns0:v>
      </ns0:c>
      <ns0:c r="T96" s="79" t="str">
        <ns0:v>Confirmación y resultado claros.</ns0:v>
      </ns0:c>
      <ns0:c r="U96" s="79" t="str">
        <ns0:v>Catálogo RF23; política de borrado debe acordarse antes de implementar. Referencia del plan anterior: P07.05.</ns0:v>
      </ns0:c>
      <ns0:c r="V96" s="79" t="str">
        <ns0:f t="shared" si="31">IF(OR(G96="Implementada",G96="Reportada"),IF(OR(K96="",M96="",O96=""),"Faltan datos reales","Completo"),IF(G96="Parcial",IF(OR(K96="",M96=""),"Faltan horas/inicio","En curso"),"Pendiente"))</ns0:f>
        <ns0:v>Pendiente</ns0:v>
      </ns0:c>
      <ns0:c r="W96" s="79" t="str">
        <ns0:v>Confirmación de retirada desde interfaz.</ns0:v>
      </ns0:c>
      <ns0:c r="X96" s="79"/>
      <ns0:c r="Y96" s="79" t="str">
        <ns0:v>Pendiente: sin implementación atribuible.</ns0:v>
      </ns0:c>
      <ns0:c r="Z96" s="79" t="str">
        <ns0:v>Evidencias Git, fila 54</ns0:v>
      </ns0:c>
    </ns0:row>
    <ns0:row r="97" ht="100" customHeight="1">
      <ns0:c r="A97" s="79" t="str">
        <ns0:v>P07.18</ns0:v>
      </ns0:c>
      <ns0:c r="B97" s="79" t="n">
        <ns0:v>2</ns0:v>
      </ns0:c>
      <ns0:c r="C97" s="79" t="str">
        <ns0:v>Seguridad: Verificar permisos y efecto del borrado</ns0:v>
      </ns0:c>
      <ns0:c r="D97" s="79" t="str">
        <ns0:v>RF23; DOC19; DOC20</ns0:v>
      </ns0:c>
      <ns0:c r="E97" s="79" t="str">
        <ns0:v>P07.11, P07.12, P07.13, P07.14, P01.06, P07.15, P07.16</ns0:v>
      </ns0:c>
      <ns0:c r="F97" s="79" t="n">
        <ns0:v>9</ns0:v>
      </ns0:c>
      <ns0:c r="G97" s="79" t="str">
        <ns0:v>Pendiente</ns0:v>
      </ns0:c>
      <ns0:c r="H97" s="97" t="str">
        <ns0:v>Alejandro</ns0:v>
      </ns0:c>
      <ns0:c r="I97" s="98" t="n">
        <ns0:v>1</ns0:v>
      </ns0:c>
      <ns0:c r="J97" s="98" t="n">
        <ns0:v>1</ns0:v>
      </ns0:c>
      <ns0:c r="K97" s="98"/>
      <ns0:c r="L97" s="99"/>
      <ns0:c r="M97" s="99"/>
      <ns0:c r="N97" s="99"/>
      <ns0:c r="O97" s="99"/>
      <ns0:c r="P97" s="79" t="str">
        <ns0:f t="shared" si="28">IF(K97="","",K97-I97)</ns0:f>
      </ns0:c>
      <ns0:c r="Q97" s="79" t="str">
        <ns0:f t="shared" si="29">IF(OR(L97="",M97=""),"",M97-L97)</ns0:f>
      </ns0:c>
      <ns0:c r="R97" s="79" t="str">
        <ns0:f t="shared" si="30">IF(OR(N97="",O97=""),"",O97-N97)</ns0:f>
      </ns0:c>
      <ns0:c r="S97" s="79" t="str">
        <ns0:v>Rojo: caso que demuestre el fallo del criterio. Verde: implementar y ejecutar la prueba. Refactorizar sin perder el verde. Casos autorizados y ataques/accesos rechazados.</ns0:v>
      </ns0:c>
      <ns0:c r="T97" s="79" t="str">
        <ns0:v>Solo propietario; pruebas de acceso cruzado e integridad.</ns0:v>
      </ns0:c>
      <ns0:c r="U97" s="79" t="str">
        <ns0:v>Catálogo RF23; política de borrado debe acordarse antes de implementar. Referencia del plan anterior: P07.05.</ns0:v>
      </ns0:c>
      <ns0:c r="V97" s="79" t="str">
        <ns0:f t="shared" si="31">IF(OR(G97="Implementada",G97="Reportada"),IF(OR(K97="",M97="",O97=""),"Faltan datos reales","Completo"),IF(G97="Parcial",IF(OR(K97="",M97=""),"Faltan horas/inicio","En curso"),"Pendiente"))</ns0:f>
        <ns0:v>Pendiente</ns0:v>
      </ns0:c>
      <ns0:c r="W97" s="79" t="str">
        <ns0:v>Retirada autorizada con integridad de datos.</ns0:v>
      </ns0:c>
      <ns0:c r="X97" s="79"/>
      <ns0:c r="Y97" s="79" t="str">
        <ns0:v>Pendiente: sin implementación atribuible.</ns0:v>
      </ns0:c>
      <ns0:c r="Z97" s="79" t="str">
        <ns0:v>Evidencias Git, fila 53</ns0:v>
      </ns0:c>
    </ns0:row>
    <ns0:row r="98" ht="30" customHeight="1">
      <ns0:c r="A98" s="94" t="str">
        <ns0:v>P08</ns0:v>
      </ns0:c>
      <ns0:c r="B98" s="94" t="n">
        <ns0:v>1</ns0:v>
      </ns0:c>
      <ns0:c r="C98" s="94" t="str">
        <ns0:v>Coincidencias básicas</ns0:v>
      </ns0:c>
      <ns0:c r="D98" s="94"/>
      <ns0:c r="E98" s="94"/>
      <ns0:c r="F98" s="94"/>
      <ns0:c r="G98" s="94"/>
      <ns0:c r="H98" s="94"/>
      <ns0:c r="I98" s="95" t="n">
        <ns0:f>SUM(I99:I107)</ns0:f>
        <ns0:v>24</ns0:v>
      </ns0:c>
      <ns0:c r="J98" s="95" t="n">
        <ns0:f>SUM(J99:J107)</ns0:f>
        <ns0:v>24</ns0:v>
      </ns0:c>
      <ns0:c r="K98" s="95" t="str">
        <ns0:f>IF(COUNT(K99:K107)=0,"",SUM(K99:K107))</ns0:f>
      </ns0:c>
      <ns0:c r="L98" s="96" t="str">
        <ns0:f>IF(COUNT(L99:L107)=9,MIN(L99:L107),"")</ns0:f>
      </ns0:c>
      <ns0:c r="M98" s="96" t="str">
        <ns0:f>IF(COUNT(M99:M107)=9,MIN(M99:M107),"")</ns0:f>
      </ns0:c>
      <ns0:c r="N98" s="96" t="str">
        <ns0:f>IF(COUNT(N99:N107)=9,MAX(N99:N107),"")</ns0:f>
      </ns0:c>
      <ns0:c r="O98" s="96" t="str">
        <ns0:f>IF(COUNT(O99:O107)=9,MAX(O99:O107),"")</ns0:f>
      </ns0:c>
      <ns0:c r="S98" s="94"/>
      <ns0:c r="T98" s="94"/>
      <ns0:c r="U98" s="94"/>
      <ns0:c r="W98" s="94"/>
      <ns0:c r="X98" s="94"/>
      <ns0:c r="Y98" s="94"/>
      <ns0:c r="Z98" s="94"/>
    </ns0:row>
    <ns0:row r="99" ht="100" customHeight="1">
      <ns0:c r="A99" s="79" t="str">
        <ns0:v>P08.01</ns0:v>
      </ns0:c>
      <ns0:c r="B99" s="79" t="n">
        <ns0:v>2</ns0:v>
      </ns0:c>
      <ns0:c r="C99" s="79" t="str">
        <ns0:v>Base de datos: Crear tabla de coincidencias y evitar duplicados</ns0:v>
      </ns0:c>
      <ns0:c r="D99" s="79" t="str">
        <ns0:v>RF11; DOC19</ns0:v>
      </ns0:c>
      <ns0:c r="E99" s="79" t="str">
        <ns0:v>P06.07, P06.08, P06.09, P07.07, P07.08, P07.09, P07.10</ns0:v>
      </ns0:c>
      <ns0:c r="F99" s="79" t="n">
        <ns0:v>1</ns0:v>
      </ns0:c>
      <ns0:c r="G99" s="79" t="str">
        <ns0:v>Pendiente</ns0:v>
      </ns0:c>
      <ns0:c r="H99" s="97" t="str">
        <ns0:v>Jorge</ns0:v>
      </ns0:c>
      <ns0:c r="I99" s="98" t="n">
        <ns0:v>3</ns0:v>
      </ns0:c>
      <ns0:c r="J99" s="98" t="n">
        <ns0:v>3</ns0:v>
      </ns0:c>
      <ns0:c r="K99" s="98"/>
      <ns0:c r="L99" s="99"/>
      <ns0:c r="M99" s="99"/>
      <ns0:c r="N99" s="99"/>
      <ns0:c r="O99" s="99"/>
      <ns0:c r="P99" s="79" t="str">
        <ns0:f t="shared" si="28">IF(K99="","",K99-I99)</ns0:f>
      </ns0:c>
      <ns0:c r="Q99" s="79" t="str">
        <ns0:f t="shared" si="29">IF(OR(L99="",M99=""),"",M99-L99)</ns0:f>
      </ns0:c>
      <ns0:c r="R99" s="79" t="str">
        <ns0:f t="shared" si="30">IF(OR(N99="",O99=""),"",O99-N99)</ns0:f>
      </ns0:c>
      <ns0:c r="S99" s="79" t="str">
        <ns0:v>Rojo: caso que demuestre el fallo del criterio. Verde: implementar y ejecutar la prueba. Refactorizar sin perder el verde. Pruebas de integración contra PostgreSQL.</ns0:v>
      </ns0:c>
      <ns0:c r="T99" s="79" t="str">
        <ns0:v>Relacionar publicaciones compatibles y guardar sugerencias únicas.</ns0:v>
      </ns0:c>
      <ns0:c r="U99" s="79" t="str">
        <ns0:v>Word 9; sin IA ni comparación de imágenes. Referencia del plan anterior: P08.01.</ns0:v>
      </ns0:c>
      <ns0:c r="V99" s="79" t="str">
        <ns0:f t="shared" si="31">IF(OR(G99="Implementada",G99="Reportada"),IF(OR(K99="",M99="",O99=""),"Faltan datos reales","Completo"),IF(G99="Parcial",IF(OR(K99="",M99=""),"Faltan horas/inicio","En curso"),"Pendiente"))</ns0:f>
        <ns0:v>Pendiente</ns0:v>
      </ns0:c>
      <ns0:c r="W99" s="79" t="str">
        <ns0:v>Persistencia de coincidencias reutilizable.</ns0:v>
      </ns0:c>
      <ns0:c r="X99" s="79"/>
      <ns0:c r="Y99" s="79" t="str">
        <ns0:v>Pendiente: sin implementación atribuible.</ns0:v>
      </ns0:c>
      <ns0:c r="Z99" s="79" t="str">
        <ns0:v>Evidencias Git, fila 55</ns0:v>
      </ns0:c>
    </ns0:row>
    <ns0:row r="100" ht="100" customHeight="1">
      <ns0:c r="A100" s="79" t="str">
        <ns0:v>P08.02</ns0:v>
      </ns0:c>
      <ns0:c r="B100" s="79" t="n">
        <ns0:v>2</ns0:v>
      </ns0:c>
      <ns0:c r="C100" s="79" t="str">
        <ns0:v>Lógica de negocio: Calcular coincidencias mediante reglas básicas</ns0:v>
      </ns0:c>
      <ns0:c r="D100" s="79" t="str">
        <ns0:v>RF11; DOC19</ns0:v>
      </ns0:c>
      <ns0:c r="E100" s="79" t="str">
        <ns0:v>P06.07, P06.08, P06.09, P07.07, P07.08, P07.09, P07.10, P08.01</ns0:v>
      </ns0:c>
      <ns0:c r="F100" s="79" t="n">
        <ns0:v>2</ns0:v>
      </ns0:c>
      <ns0:c r="G100" s="79" t="str">
        <ns0:v>Pendiente</ns0:v>
      </ns0:c>
      <ns0:c r="H100" s="97" t="str">
        <ns0:v>Gonzalo</ns0:v>
      </ns0:c>
      <ns0:c r="I100" s="98" t="n">
        <ns0:v>7</ns0:v>
      </ns0:c>
      <ns0:c r="J100" s="98" t="n">
        <ns0:v>7</ns0:v>
      </ns0:c>
      <ns0:c r="K100" s="98"/>
      <ns0:c r="L100" s="99"/>
      <ns0:c r="M100" s="99"/>
      <ns0:c r="N100" s="99"/>
      <ns0:c r="O100" s="99"/>
      <ns0:c r="P100" s="79" t="str">
        <ns0:f t="shared" si="28">IF(K100="","",K100-I100)</ns0:f>
      </ns0:c>
      <ns0:c r="Q100" s="79" t="str">
        <ns0:f t="shared" si="29">IF(OR(L100="",M100=""),"",M100-L100)</ns0:f>
      </ns0:c>
      <ns0:c r="R100" s="79" t="str">
        <ns0:f t="shared" si="30">IF(OR(N100="",O100=""),"",O100-N100)</ns0:f>
      </ns0:c>
      <ns0:c r="S100" s="79" t="str">
        <ns0:v>Rojo: caso que demuestre el fallo del criterio. Verde: implementar y ejecutar la prueba. Refactorizar sin perder el verde. Unitarias de reglas e integración donde corresponda.</ns0:v>
      </ns0:c>
      <ns0:c r="T100" s="79" t="str">
        <ns0:v>Categoría, fecha, lugar, marca, color y descripción; sin IA.</ns0:v>
      </ns0:c>
      <ns0:c r="U100" s="79" t="str">
        <ns0:v>Word 9; sin IA ni comparación de imágenes. Referencia del plan anterior: P08.01.</ns0:v>
      </ns0:c>
      <ns0:c r="V100" s="79" t="str">
        <ns0:f t="shared" si="31">IF(OR(G100="Implementada",G100="Reportada"),IF(OR(K100="",M100="",O100=""),"Faltan datos reales","Completo"),IF(G100="Parcial",IF(OR(K100="",M100=""),"Faltan horas/inicio","En curso"),"Pendiente"))</ns0:f>
        <ns0:v>Pendiente</ns0:v>
      </ns0:c>
      <ns0:c r="W100" s="79" t="str">
        <ns0:v>Reglas básicas de coincidencia probadas como componente.</ns0:v>
      </ns0:c>
      <ns0:c r="X100" s="79"/>
      <ns0:c r="Y100" s="79" t="str">
        <ns0:v>Pendiente: sin implementación atribuible.</ns0:v>
      </ns0:c>
      <ns0:c r="Z100" s="79" t="str">
        <ns0:v>Evidencias Git, fila 56</ns0:v>
      </ns0:c>
    </ns0:row>
    <ns0:row r="101" ht="100" customHeight="1">
      <ns0:c r="A101" s="79" t="str">
        <ns0:v>P08.03</ns0:v>
      </ns0:c>
      <ns0:c r="B101" s="79" t="n">
        <ns0:v>2</ns0:v>
      </ns0:c>
      <ns0:c r="C101" s="79" t="str">
        <ns0:v>Integración: Verificar cálculo y persistencia de sugerencias</ns0:v>
      </ns0:c>
      <ns0:c r="D101" s="79" t="str">
        <ns0:v>RF11; DOC19</ns0:v>
      </ns0:c>
      <ns0:c r="E101" s="79" t="str">
        <ns0:v>P06.07, P06.08, P06.09, P07.07, P07.08, P07.09, P07.10, P08.01, P08.02</ns0:v>
      </ns0:c>
      <ns0:c r="F101" s="79" t="n">
        <ns0:v>3</ns0:v>
      </ns0:c>
      <ns0:c r="G101" s="79" t="str">
        <ns0:v>Pendiente</ns0:v>
      </ns0:c>
      <ns0:c r="H101" s="97" t="str">
        <ns0:v>Alvaro</ns0:v>
      </ns0:c>
      <ns0:c r="I101" s="98" t="n">
        <ns0:v>2</ns0:v>
      </ns0:c>
      <ns0:c r="J101" s="98" t="n">
        <ns0:v>2</ns0:v>
      </ns0:c>
      <ns0:c r="K101" s="98"/>
      <ns0:c r="L101" s="99"/>
      <ns0:c r="M101" s="99"/>
      <ns0:c r="N101" s="99"/>
      <ns0:c r="O101" s="99"/>
      <ns0:c r="P101" s="79" t="str">
        <ns0:f t="shared" si="28">IF(K101="","",K101-I101)</ns0:f>
      </ns0:c>
      <ns0:c r="Q101" s="79" t="str">
        <ns0:f t="shared" si="29">IF(OR(L101="",M101=""),"",M101-L101)</ns0:f>
      </ns0:c>
      <ns0:c r="R101" s="79" t="str">
        <ns0:f t="shared" si="30">IF(OR(N101="",O101=""),"",O101-N101)</ns0:f>
      </ns0:c>
      <ns0:c r="S101" s="79" t="str">
        <ns0:v>Rojo: caso que demuestre el fallo del criterio. Verde: implementar y ejecutar la prueba. Refactorizar sin perder el verde. Comprobar componentes conectados y flujo E2E pertinente.</ns0:v>
      </ns0:c>
      <ns0:c r="T101" s="79" t="str">
        <ns0:v>Casos positivos, negativos y repetición sin duplicados.</ns0:v>
      </ns0:c>
      <ns0:c r="U101" s="79" t="str">
        <ns0:v>Word 9; sin IA ni comparación de imágenes. Referencia del plan anterior: P08.01.</ns0:v>
      </ns0:c>
      <ns0:c r="V101" s="79" t="str">
        <ns0:f t="shared" si="31">IF(OR(G101="Implementada",G101="Reportada"),IF(OR(K101="",M101="",O101=""),"Faltan datos reales","Completo"),IF(G101="Parcial",IF(OR(K101="",M101=""),"Faltan horas/inicio","En curso"),"Pendiente"))</ns0:f>
        <ns0:v>Pendiente</ns0:v>
      </ns0:c>
      <ns0:c r="W101" s="79" t="str">
        <ns0:v>Cálculo y almacenamiento conectados.</ns0:v>
      </ns0:c>
      <ns0:c r="X101" s="79"/>
      <ns0:c r="Y101" s="79" t="str">
        <ns0:v>Pendiente: sin implementación atribuible.</ns0:v>
      </ns0:c>
      <ns0:c r="Z101" s="79" t="str">
        <ns0:v>Evidencias Git, fila 57</ns0:v>
      </ns0:c>
    </ns0:row>
    <ns0:row r="102" ht="100" customHeight="1">
      <ns0:c r="A102" s="79" t="str">
        <ns0:v>P08.04</ns0:v>
      </ns0:c>
      <ns0:c r="B102" s="79" t="n">
        <ns0:v>2</ns0:v>
      </ns0:c>
      <ns0:c r="C102" s="79" t="str">
        <ns0:v>Lógica de negocio: Recalcular sugerencias tras cambios de publicación</ns0:v>
      </ns0:c>
      <ns0:c r="D102" s="79" t="str">
        <ns0:v>RF11</ns0:v>
      </ns0:c>
      <ns0:c r="E102" s="79" t="str">
        <ns0:v>P08.01, P08.02, P08.03, P07.11, P07.12, P07.13, P07.14, P07.15, P07.16, P07.17, P07.18</ns0:v>
      </ns0:c>
      <ns0:c r="F102" s="79" t="n">
        <ns0:v>4</ns0:v>
      </ns0:c>
      <ns0:c r="G102" s="79" t="str">
        <ns0:v>Pendiente</ns0:v>
      </ns0:c>
      <ns0:c r="H102" s="97" t="str">
        <ns0:v>Jorge</ns0:v>
      </ns0:c>
      <ns0:c r="I102" s="98" t="n">
        <ns0:v>4</ns0:v>
      </ns0:c>
      <ns0:c r="J102" s="98" t="n">
        <ns0:v>4</ns0:v>
      </ns0:c>
      <ns0:c r="K102" s="98"/>
      <ns0:c r="L102" s="99"/>
      <ns0:c r="M102" s="99"/>
      <ns0:c r="N102" s="99"/>
      <ns0:c r="O102" s="99"/>
      <ns0:c r="P102" s="79" t="str">
        <ns0:f>IF(K102="","",K102-I102)</ns0:f>
      </ns0:c>
      <ns0:c r="Q102" s="79" t="str">
        <ns0:f>IF(OR(L102="",M102=""),"",M102-L102)</ns0:f>
      </ns0:c>
      <ns0:c r="R102" s="79" t="str">
        <ns0:f>IF(OR(N102="",O102=""),"",O102-N102)</ns0:f>
      </ns0:c>
      <ns0:c r="S102" s="79" t="str">
        <ns0:v>Rojo: caso que demuestre el fallo del criterio. Verde: implementar y ejecutar la prueba. Refactorizar sin perder el verde. Unitarias de reglas e integración donde corresponda.</ns0:v>
      </ns0:c>
      <ns0:c r="T102" s="79" t="str">
        <ns0:v>Actualizar o retirar coincidencias obsoletas por edición o retirada.</ns0:v>
      </ns0:c>
      <ns0:c r="U102" s="79" t="str">
        <ns0:v>Word 9. Referencia del plan anterior: P08.02.</ns0:v>
      </ns0:c>
      <ns0:c r="V102" s="79" t="str">
        <ns0:f>IF(OR(G102="Implementada",G102="Reportada"),IF(OR(K102="",M102="",O102=""),"Faltan datos reales","Completo"),IF(G102="Parcial",IF(OR(K102="",M102=""),"Faltan horas/inicio","En curso"),"Pendiente"))</ns0:f>
        <ns0:v>Pendiente</ns0:v>
      </ns0:c>
      <ns0:c r="W102" s="79" t="str">
        <ns0:v>Actualización de sugerencias tras cambios.</ns0:v>
      </ns0:c>
      <ns0:c r="X102" s="79"/>
      <ns0:c r="Y102" s="79" t="str">
        <ns0:v>Pendiente: sin implementación atribuible.</ns0:v>
      </ns0:c>
      <ns0:c r="Z102" s="79" t="str">
        <ns0:v>Evidencias Git, fila 58</ns0:v>
      </ns0:c>
    </ns0:row>
    <ns0:row r="103" ht="100" customHeight="1">
      <ns0:c r="A103" s="79" t="str">
        <ns0:v>P08.05</ns0:v>
      </ns0:c>
      <ns0:c r="B103" s="79" t="n">
        <ns0:v>2</ns0:v>
      </ns0:c>
      <ns0:c r="C103" s="79" t="str">
        <ns0:v>Integración: Verificar actualización de coincidencias</ns0:v>
      </ns0:c>
      <ns0:c r="D103" s="79" t="str">
        <ns0:v>RF11</ns0:v>
      </ns0:c>
      <ns0:c r="E103" s="79" t="str">
        <ns0:v>P08.01, P08.02, P08.03, P07.11, P07.12, P07.13, P07.14, P07.15, P07.16, P07.17, P07.18, P08.04</ns0:v>
      </ns0:c>
      <ns0:c r="F103" s="79" t="n">
        <ns0:v>4</ns0:v>
      </ns0:c>
      <ns0:c r="G103" s="79" t="str">
        <ns0:v>Pendiente</ns0:v>
      </ns0:c>
      <ns0:c r="H103" s="97" t="str">
        <ns0:v>Jorge</ns0:v>
      </ns0:c>
      <ns0:c r="I103" s="98" t="n">
        <ns0:v>2</ns0:v>
      </ns0:c>
      <ns0:c r="J103" s="98" t="n">
        <ns0:v>2</ns0:v>
      </ns0:c>
      <ns0:c r="K103" s="98"/>
      <ns0:c r="L103" s="99"/>
      <ns0:c r="M103" s="99"/>
      <ns0:c r="N103" s="99"/>
      <ns0:c r="O103" s="99"/>
      <ns0:c r="P103" s="79" t="str">
        <ns0:f t="shared" ref="P103:P112" si="32">IF(K103="","",K103-I103)</ns0:f>
      </ns0:c>
      <ns0:c r="Q103" s="79" t="str">
        <ns0:f t="shared" ref="Q103:Q112" si="33">IF(OR(L103="",M103=""),"",M103-L103)</ns0:f>
      </ns0:c>
      <ns0:c r="R103" s="79" t="str">
        <ns0:f t="shared" ref="R103:R112" si="34">IF(OR(N103="",O103=""),"",O103-N103)</ns0:f>
      </ns0:c>
      <ns0:c r="S103" s="79" t="str">
        <ns0:v>Rojo: caso que demuestre el fallo del criterio. Verde: implementar y ejecutar la prueba. Refactorizar sin perder el verde. Comprobar componentes conectados y flujo E2E pertinente.</ns0:v>
      </ns0:c>
      <ns0:c r="T103" s="79" t="str">
        <ns0:v>No conservar sugerencias inválidas ni crear duplicadas.</ns0:v>
      </ns0:c>
      <ns0:c r="U103" s="79" t="str">
        <ns0:v>Word 9. Referencia del plan anterior: P08.02.</ns0:v>
      </ns0:c>
      <ns0:c r="V103" s="79" t="str">
        <ns0:f t="shared" ref="V103:V112" si="35">IF(OR(G103="Implementada",G103="Reportada"),IF(OR(K103="",M103="",O103=""),"Faltan datos reales","Completo"),IF(G103="Parcial",IF(OR(K103="",M103=""),"Faltan horas/inicio","En curso"),"Pendiente"))</ns0:f>
        <ns0:v>Pendiente</ns0:v>
      </ns0:c>
      <ns0:c r="W103" s="79" t="str">
        <ns0:v>Actualización de sugerencias tras cambios.</ns0:v>
      </ns0:c>
      <ns0:c r="X103" s="79"/>
      <ns0:c r="Y103" s="79" t="str">
        <ns0:v>Pendiente: sin implementación atribuible.</ns0:v>
      </ns0:c>
      <ns0:c r="Z103" s="79" t="str">
        <ns0:v>Evidencias Git, fila 58</ns0:v>
      </ns0:c>
    </ns0:row>
    <ns0:row r="104" ht="100" customHeight="1">
      <ns0:c r="A104" s="79" t="str">
        <ns0:v>P08.06</ns0:v>
      </ns0:c>
      <ns0:c r="B104" s="79" t="n">
        <ns0:v>2</ns0:v>
      </ns0:c>
      <ns0:c r="C104" s="79" t="str">
        <ns0:v>Lógica de negocio: Consultar y registrar revisión de sugerencias</ns0:v>
      </ns0:c>
      <ns0:c r="D104" s="79" t="str">
        <ns0:v>RF12; DOC20</ns0:v>
      </ns0:c>
      <ns0:c r="E104" s="79" t="str">
        <ns0:v>P08.04, P08.05, P07.04, P07.05, P07.06</ns0:v>
      </ns0:c>
      <ns0:c r="F104" s="79" t="n">
        <ns0:v>5</ns0:v>
      </ns0:c>
      <ns0:c r="G104" s="79" t="str">
        <ns0:v>Pendiente</ns0:v>
      </ns0:c>
      <ns0:c r="H104" s="97" t="str">
        <ns0:v>Iñigo</ns0:v>
      </ns0:c>
      <ns0:c r="I104" s="98" t="n">
        <ns0:v>2</ns0:v>
      </ns0:c>
      <ns0:c r="J104" s="98" t="n">
        <ns0:v>2</ns0:v>
      </ns0:c>
      <ns0:c r="K104" s="98"/>
      <ns0:c r="L104" s="99"/>
      <ns0:c r="M104" s="99"/>
      <ns0:c r="N104" s="99"/>
      <ns0:c r="O104" s="99"/>
      <ns0:c r="P104" s="79" t="str">
        <ns0:f t="shared" si="32">IF(K104="","",K104-I104)</ns0:f>
      </ns0:c>
      <ns0:c r="Q104" s="79" t="str">
        <ns0:f t="shared" si="33">IF(OR(L104="",M104=""),"",M104-L104)</ns0:f>
      </ns0:c>
      <ns0:c r="R104" s="79" t="str">
        <ns0:f t="shared" si="34">IF(OR(N104="",O104=""),"",O104-N104)</ns0:f>
      </ns0:c>
      <ns0:c r="S104" s="79" t="str">
        <ns0:v>Rojo: caso que demuestre el fallo del criterio. Verde: implementar y ejecutar la prueba. Refactorizar sin perder el verde. Unitarias de reglas e integración donde corresponda.</ns0:v>
      </ns0:c>
      <ns0:c r="T104" s="79" t="str">
        <ns0:v>Sugerencias revisables sin confirmar propiedad automáticamente.</ns0:v>
      </ns0:c>
      <ns0:c r="U104" s="79" t="str">
        <ns0:v>Word 9. Referencia del plan anterior: P08.03.</ns0:v>
      </ns0:c>
      <ns0:c r="V104" s="79" t="str">
        <ns0:f t="shared" si="35">IF(OR(G104="Implementada",G104="Reportada"),IF(OR(K104="",M104="",O104=""),"Faltan datos reales","Completo"),IF(G104="Parcial",IF(OR(K104="",M104=""),"Faltan horas/inicio","En curso"),"Pendiente"))</ns0:f>
        <ns0:v>Pendiente</ns0:v>
      </ns0:c>
      <ns0:c r="W104" s="79" t="str">
        <ns0:v>Servicio autorizado de consulta y revisión.</ns0:v>
      </ns0:c>
      <ns0:c r="X104" s="79"/>
      <ns0:c r="Y104" s="79" t="str">
        <ns0:v>Pendiente: sin implementación atribuible.</ns0:v>
      </ns0:c>
      <ns0:c r="Z104" s="79" t="str">
        <ns0:v>Evidencias Git, fila 59</ns0:v>
      </ns0:c>
    </ns0:row>
    <ns0:row r="105" ht="100" customHeight="1">
      <ns0:c r="A105" s="79" t="str">
        <ns0:v>P08.07</ns0:v>
      </ns0:c>
      <ns0:c r="B105" s="79" t="n">
        <ns0:v>2</ns0:v>
      </ns0:c>
      <ns0:c r="C105" s="79" t="str">
        <ns0:v>Interfaz de usuario: Mostrar y revisar coincidencias</ns0:v>
      </ns0:c>
      <ns0:c r="D105" s="79" t="str">
        <ns0:v>RF12; DOC20</ns0:v>
      </ns0:c>
      <ns0:c r="E105" s="79" t="str">
        <ns0:v>P08.04, P08.05, P07.04, P07.05, P07.06, P08.06</ns0:v>
      </ns0:c>
      <ns0:c r="F105" s="79" t="n">
        <ns0:v>6</ns0:v>
      </ns0:c>
      <ns0:c r="G105" s="79" t="str">
        <ns0:v>Pendiente</ns0:v>
      </ns0:c>
      <ns0:c r="H105" s="97" t="str">
        <ns0:v>Gonzalo</ns0:v>
      </ns0:c>
      <ns0:c r="I105" s="98" t="n">
        <ns0:v>2</ns0:v>
      </ns0:c>
      <ns0:c r="J105" s="98" t="n">
        <ns0:v>2</ns0:v>
      </ns0:c>
      <ns0:c r="K105" s="98"/>
      <ns0:c r="L105" s="99"/>
      <ns0:c r="M105" s="99"/>
      <ns0:c r="N105" s="99"/>
      <ns0:c r="O105" s="99"/>
      <ns0:c r="P105" s="79" t="str">
        <ns0:f t="shared" si="32">IF(K105="","",K105-I105)</ns0:f>
      </ns0:c>
      <ns0:c r="Q105" s="79" t="str">
        <ns0:f t="shared" si="33">IF(OR(L105="",M105=""),"",M105-L105)</ns0:f>
      </ns0:c>
      <ns0:c r="R105" s="79" t="str">
        <ns0:f t="shared" si="34">IF(OR(N105="",O105=""),"",O105-N105)</ns0:f>
      </ns0:c>
      <ns0:c r="S105" s="79" t="str">
        <ns0:v>Rojo: caso que demuestre el fallo del criterio. Verde: implementar y ejecutar la prueba. Refactorizar sin perder el verde. Pruebas de interacción y validación de interfaz.</ns0:v>
      </ns0:c>
      <ns0:c r="T105" s="79" t="str">
        <ns0:v>Listado y detalle de posibles coincidencias.</ns0:v>
      </ns0:c>
      <ns0:c r="U105" s="79" t="str">
        <ns0:v>Word 9. Referencia del plan anterior: P08.03.</ns0:v>
      </ns0:c>
      <ns0:c r="V105" s="79" t="str">
        <ns0:f t="shared" si="35">IF(OR(G105="Implementada",G105="Reportada"),IF(OR(K105="",M105="",O105=""),"Faltan datos reales","Completo"),IF(G105="Parcial",IF(OR(K105="",M105=""),"Faltan horas/inicio","En curso"),"Pendiente"))</ns0:f>
        <ns0:v>Pendiente</ns0:v>
      </ns0:c>
      <ns0:c r="W105" s="79" t="str">
        <ns0:v>Revisión de sugerencias desde pantalla.</ns0:v>
      </ns0:c>
      <ns0:c r="X105" s="79"/>
      <ns0:c r="Y105" s="79" t="str">
        <ns0:v>Pendiente: sin implementación atribuible.</ns0:v>
      </ns0:c>
      <ns0:c r="Z105" s="79" t="str">
        <ns0:v>Evidencias Git, fila 60</ns0:v>
      </ns0:c>
    </ns0:row>
    <ns0:row r="106" ht="100" customHeight="1">
      <ns0:c r="A106" s="79" t="str">
        <ns0:v>P08.08</ns0:v>
      </ns0:c>
      <ns0:c r="B106" s="79" t="n">
        <ns0:v>2</ns0:v>
      </ns0:c>
      <ns0:c r="C106" s="79" t="str">
        <ns0:v>Seguridad: Restringir consulta y revisión de coincidencias</ns0:v>
      </ns0:c>
      <ns0:c r="D106" s="79" t="str">
        <ns0:v>RF12; DOC20</ns0:v>
      </ns0:c>
      <ns0:c r="E106" s="79" t="str">
        <ns0:v>P08.04, P08.05, P07.04, P07.05, P07.06, P08.06</ns0:v>
      </ns0:c>
      <ns0:c r="F106" s="79" t="n">
        <ns0:v>5</ns0:v>
      </ns0:c>
      <ns0:c r="G106" s="79" t="str">
        <ns0:v>Pendiente</ns0:v>
      </ns0:c>
      <ns0:c r="H106" s="97" t="str">
        <ns0:v>Jesús</ns0:v>
      </ns0:c>
      <ns0:c r="I106" s="98" t="n">
        <ns0:v>1</ns0:v>
      </ns0:c>
      <ns0:c r="J106" s="98" t="n">
        <ns0:v>1</ns0:v>
      </ns0:c>
      <ns0:c r="K106" s="98"/>
      <ns0:c r="L106" s="99"/>
      <ns0:c r="M106" s="99"/>
      <ns0:c r="N106" s="99"/>
      <ns0:c r="O106" s="99"/>
      <ns0:c r="P106" s="79" t="str">
        <ns0:f t="shared" si="32">IF(K106="","",K106-I106)</ns0:f>
      </ns0:c>
      <ns0:c r="Q106" s="79" t="str">
        <ns0:f t="shared" si="33">IF(OR(L106="",M106=""),"",M106-L106)</ns0:f>
      </ns0:c>
      <ns0:c r="R106" s="79" t="str">
        <ns0:f t="shared" si="34">IF(OR(N106="",O106=""),"",O106-N106)</ns0:f>
      </ns0:c>
      <ns0:c r="S106" s="79" t="str">
        <ns0:v>Rojo: caso que demuestre el fallo del criterio. Verde: implementar y ejecutar la prueba. Refactorizar sin perder el verde. Casos autorizados y ataques/accesos rechazados.</ns0:v>
      </ns0:c>
      <ns0:c r="T106" s="79" t="str">
        <ns0:v>Solo participantes autorizados.</ns0:v>
      </ns0:c>
      <ns0:c r="U106" s="79" t="str">
        <ns0:v>Word 9. Referencia del plan anterior: P08.03.</ns0:v>
      </ns0:c>
      <ns0:c r="V106" s="79" t="str">
        <ns0:f t="shared" si="35">IF(OR(G106="Implementada",G106="Reportada"),IF(OR(K106="",M106="",O106=""),"Faltan datos reales","Completo"),IF(G106="Parcial",IF(OR(K106="",M106=""),"Faltan horas/inicio","En curso"),"Pendiente"))</ns0:f>
        <ns0:v>Pendiente</ns0:v>
      </ns0:c>
      <ns0:c r="W106" s="79" t="str">
        <ns0:v>Servicio autorizado de consulta y revisión.</ns0:v>
      </ns0:c>
      <ns0:c r="X106" s="79"/>
      <ns0:c r="Y106" s="79" t="str">
        <ns0:v>Pendiente: sin implementación atribuible.</ns0:v>
      </ns0:c>
      <ns0:c r="Z106" s="79" t="str">
        <ns0:v>Evidencias Git, fila 59</ns0:v>
      </ns0:c>
    </ns0:row>
    <ns0:row r="107" ht="100" customHeight="1">
      <ns0:c r="A107" s="79" t="str">
        <ns0:v>P08.09</ns0:v>
      </ns0:c>
      <ns0:c r="B107" s="79" t="n">
        <ns0:v>2</ns0:v>
      </ns0:c>
      <ns0:c r="C107" s="79" t="str">
        <ns0:v>Integración: Comprobar revisión de coincidencias en navegador</ns0:v>
      </ns0:c>
      <ns0:c r="D107" s="79" t="str">
        <ns0:v>RF12; DOC20</ns0:v>
      </ns0:c>
      <ns0:c r="E107" s="79" t="str">
        <ns0:v>P08.04, P08.05, P07.04, P07.05, P07.06, P08.06, P08.07, P08.08</ns0:v>
      </ns0:c>
      <ns0:c r="F107" s="79" t="n">
        <ns0:v>6</ns0:v>
      </ns0:c>
      <ns0:c r="G107" s="79" t="str">
        <ns0:v>Pendiente</ns0:v>
      </ns0:c>
      <ns0:c r="H107" s="97" t="str">
        <ns0:v>Jorge</ns0:v>
      </ns0:c>
      <ns0:c r="I107" s="98" t="n">
        <ns0:v>1</ns0:v>
      </ns0:c>
      <ns0:c r="J107" s="98" t="n">
        <ns0:v>1</ns0:v>
      </ns0:c>
      <ns0:c r="K107" s="98"/>
      <ns0:c r="L107" s="99"/>
      <ns0:c r="M107" s="99"/>
      <ns0:c r="N107" s="99"/>
      <ns0:c r="O107" s="99"/>
      <ns0:c r="P107" s="79" t="str">
        <ns0:f t="shared" si="32">IF(K107="","",K107-I107)</ns0:f>
      </ns0:c>
      <ns0:c r="Q107" s="79" t="str">
        <ns0:f t="shared" si="33">IF(OR(L107="",M107=""),"",M107-L107)</ns0:f>
      </ns0:c>
      <ns0:c r="R107" s="79" t="str">
        <ns0:f t="shared" si="34">IF(OR(N107="",O107=""),"",O107-N107)</ns0:f>
      </ns0:c>
      <ns0:c r="S107" s="79" t="str">
        <ns0:v>Rojo: caso que demuestre el fallo del criterio. Verde: implementar y ejecutar la prueba. Refactorizar sin perder el verde. Comprobar componentes conectados y flujo E2E pertinente.</ns0:v>
      </ns0:c>
      <ns0:c r="T107" s="79" t="str">
        <ns0:v>Selección, revisión y permisos de extremo a extremo.</ns0:v>
      </ns0:c>
      <ns0:c r="U107" s="79" t="str">
        <ns0:v>Word 9. Referencia del plan anterior: P08.03.</ns0:v>
      </ns0:c>
      <ns0:c r="V107" s="79" t="str">
        <ns0:f t="shared" si="35">IF(OR(G107="Implementada",G107="Reportada"),IF(OR(K107="",M107="",O107=""),"Faltan datos reales","Completo"),IF(G107="Parcial",IF(OR(K107="",M107=""),"Faltan horas/inicio","En curso"),"Pendiente"))</ns0:f>
        <ns0:v>Pendiente</ns0:v>
      </ns0:c>
      <ns0:c r="W107" s="79" t="str">
        <ns0:v>Revisión de sugerencias desde pantalla.</ns0:v>
      </ns0:c>
      <ns0:c r="X107" s="79"/>
      <ns0:c r="Y107" s="79" t="str">
        <ns0:v>Pendiente: sin implementación atribuible.</ns0:v>
      </ns0:c>
      <ns0:c r="Z107" s="79" t="str">
        <ns0:v>Evidencias Git, fila 60</ns0:v>
      </ns0:c>
    </ns0:row>
    <ns0:row r="108" ht="30" customHeight="1">
      <ns0:c r="A108" s="94" t="str">
        <ns0:v>P09</ns0:v>
      </ns0:c>
      <ns0:c r="B108" s="94" t="n">
        <ns0:v>1</ns0:v>
      </ns0:c>
      <ns0:c r="C108" s="94" t="str">
        <ns0:v>Reclamaciones y verificación</ns0:v>
      </ns0:c>
      <ns0:c r="D108" s="94"/>
      <ns0:c r="E108" s="94"/>
      <ns0:c r="F108" s="94"/>
      <ns0:c r="G108" s="94"/>
      <ns0:c r="H108" s="94"/>
      <ns0:c r="I108" s="95" t="n">
        <ns0:f>SUM(I109:I118)</ns0:f>
        <ns0:v>19</ns0:v>
      </ns0:c>
      <ns0:c r="J108" s="95" t="n">
        <ns0:f>SUM(J109:J118)</ns0:f>
        <ns0:v>19</ns0:v>
      </ns0:c>
      <ns0:c r="K108" s="95" t="str">
        <ns0:f>IF(COUNT(K109:K118)=0,"",SUM(K109:K118))</ns0:f>
      </ns0:c>
      <ns0:c r="L108" s="96" t="str">
        <ns0:f>IF(COUNT(L109:L118)=10,MIN(L109:L118),"")</ns0:f>
      </ns0:c>
      <ns0:c r="M108" s="96" t="str">
        <ns0:f>IF(COUNT(M109:M118)=10,MIN(M109:M118),"")</ns0:f>
      </ns0:c>
      <ns0:c r="N108" s="96" t="str">
        <ns0:f>IF(COUNT(N109:N118)=10,MAX(N109:N118),"")</ns0:f>
      </ns0:c>
      <ns0:c r="O108" s="96" t="str">
        <ns0:f>IF(COUNT(O109:O118)=10,MAX(O109:O118),"")</ns0:f>
      </ns0:c>
      <ns0:c r="S108" s="94"/>
      <ns0:c r="T108" s="94"/>
      <ns0:c r="U108" s="94"/>
      <ns0:c r="W108" s="94"/>
      <ns0:c r="X108" s="94"/>
      <ns0:c r="Y108" s="94"/>
      <ns0:c r="Z108" s="94"/>
    </ns0:row>
    <ns0:row r="109" ht="100" customHeight="1">
      <ns0:c r="A109" s="79" t="str">
        <ns0:v>P09.01</ns0:v>
      </ns0:c>
      <ns0:c r="B109" s="79" t="n">
        <ns0:v>2</ns0:v>
      </ns0:c>
      <ns0:c r="C109" s="79" t="str">
        <ns0:v>Base de datos: Crear reclamaciones y sus relaciones</ns0:v>
      </ns0:c>
      <ns0:c r="D109" s="79" t="str">
        <ns0:v>RF13; DOC19; DOC20</ns0:v>
      </ns0:c>
      <ns0:c r="E109" s="79" t="str">
        <ns0:v>P07.04, P07.05, P07.06, P06.01, P06.02</ns0:v>
      </ns0:c>
      <ns0:c r="F109" s="79" t="n">
        <ns0:v>1</ns0:v>
      </ns0:c>
      <ns0:c r="G109" s="79" t="str">
        <ns0:v>Pendiente</ns0:v>
      </ns0:c>
      <ns0:c r="H109" s="97" t="str">
        <ns0:v>Alejandro</ns0:v>
      </ns0:c>
      <ns0:c r="I109" s="98" t="n">
        <ns0:v>2</ns0:v>
      </ns0:c>
      <ns0:c r="J109" s="98" t="n">
        <ns0:v>2</ns0:v>
      </ns0:c>
      <ns0:c r="K109" s="98"/>
      <ns0:c r="L109" s="99"/>
      <ns0:c r="M109" s="99"/>
      <ns0:c r="N109" s="99"/>
      <ns0:c r="O109" s="99"/>
      <ns0:c r="P109" s="79" t="str">
        <ns0:f t="shared" si="32">IF(K109="","",K109-I109)</ns0:f>
      </ns0:c>
      <ns0:c r="Q109" s="79" t="str">
        <ns0:f t="shared" si="33">IF(OR(L109="",M109=""),"",M109-L109)</ns0:f>
      </ns0:c>
      <ns0:c r="R109" s="79" t="str">
        <ns0:f t="shared" si="34">IF(OR(N109="",O109=""),"",O109-N109)</ns0:f>
      </ns0:c>
      <ns0:c r="S109" s="79" t="str">
        <ns0:v>Rojo: caso que demuestre el fallo del criterio. Verde: implementar y ejecutar la prueba. Refactorizar sin perder el verde. Pruebas de integración contra PostgreSQL.</ns0:v>
      </ns0:c>
      <ns0:c r="T109" s="79" t="str">
        <ns0:v>Solicitante, objeto, estado y restricciones de duplicados.</ns0:v>
      </ns0:c>
      <ns0:c r="U109" s="79" t="str">
        <ns0:v>Word 10. Referencia del plan anterior: P09.01.</ns0:v>
      </ns0:c>
      <ns0:c r="V109" s="79" t="str">
        <ns0:f t="shared" si="35">IF(OR(G109="Implementada",G109="Reportada"),IF(OR(K109="",M109="",O109=""),"Faltan datos reales","Completo"),IF(G109="Parcial",IF(OR(K109="",M109=""),"Faltan horas/inicio","En curso"),"Pendiente"))</ns0:f>
        <ns0:v>Pendiente</ns0:v>
      </ns0:c>
      <ns0:c r="W109" s="79" t="str">
        <ns0:v>Modelo de reclamaciones disponible.</ns0:v>
      </ns0:c>
      <ns0:c r="X109" s="79"/>
      <ns0:c r="Y109" s="79" t="str">
        <ns0:v>Pendiente: sin implementación atribuible.</ns0:v>
      </ns0:c>
      <ns0:c r="Z109" s="79" t="str">
        <ns0:v>Evidencias Git, fila 61</ns0:v>
      </ns0:c>
    </ns0:row>
    <ns0:row r="110" ht="100" customHeight="1">
      <ns0:c r="A110" s="79" t="str">
        <ns0:v>P09.02</ns0:v>
      </ns0:c>
      <ns0:c r="B110" s="79" t="n">
        <ns0:v>2</ns0:v>
      </ns0:c>
      <ns0:c r="C110" s="79" t="str">
        <ns0:v>Lógica de negocio: Crear reclamación de objeto disponible</ns0:v>
      </ns0:c>
      <ns0:c r="D110" s="79" t="str">
        <ns0:v>RF13; DOC19; DOC20</ns0:v>
      </ns0:c>
      <ns0:c r="E110" s="79" t="str">
        <ns0:v>P07.04, P07.05, P07.06, P06.01, P06.02, P09.01</ns0:v>
      </ns0:c>
      <ns0:c r="F110" s="79" t="n">
        <ns0:v>2</ns0:v>
      </ns0:c>
      <ns0:c r="G110" s="79" t="str">
        <ns0:v>Pendiente</ns0:v>
      </ns0:c>
      <ns0:c r="H110" s="97" t="str">
        <ns0:v>Jesús</ns0:v>
      </ns0:c>
      <ns0:c r="I110" s="98" t="n">
        <ns0:v>2</ns0:v>
      </ns0:c>
      <ns0:c r="J110" s="98" t="n">
        <ns0:v>2</ns0:v>
      </ns0:c>
      <ns0:c r="K110" s="98"/>
      <ns0:c r="L110" s="99"/>
      <ns0:c r="M110" s="99"/>
      <ns0:c r="N110" s="99"/>
      <ns0:c r="O110" s="99"/>
      <ns0:c r="P110" s="79" t="str">
        <ns0:f t="shared" si="32">IF(K110="","",K110-I110)</ns0:f>
      </ns0:c>
      <ns0:c r="Q110" s="79" t="str">
        <ns0:f t="shared" si="33">IF(OR(L110="",M110=""),"",M110-L110)</ns0:f>
      </ns0:c>
      <ns0:c r="R110" s="79" t="str">
        <ns0:f t="shared" si="34">IF(OR(N110="",O110=""),"",O110-N110)</ns0:f>
      </ns0:c>
      <ns0:c r="S110" s="79" t="str">
        <ns0:v>Rojo: caso que demuestre el fallo del criterio. Verde: implementar y ejecutar la prueba. Refactorizar sin perder el verde. Unitarias de reglas e integración donde corresponda.</ns0:v>
      </ns0:c>
      <ns0:c r="T110" s="79" t="str">
        <ns0:v>Validar disponibilidad y duplicados.</ns0:v>
      </ns0:c>
      <ns0:c r="U110" s="79" t="str">
        <ns0:v>Word 10. Referencia del plan anterior: P09.01.</ns0:v>
      </ns0:c>
      <ns0:c r="V110" s="79" t="str">
        <ns0:f t="shared" si="35">IF(OR(G110="Implementada",G110="Reportada"),IF(OR(K110="",M110="",O110=""),"Faltan datos reales","Completo"),IF(G110="Parcial",IF(OR(K110="",M110=""),"Faltan horas/inicio","En curso"),"Pendiente"))</ns0:f>
        <ns0:v>Pendiente</ns0:v>
      </ns0:c>
      <ns0:c r="W110" s="79" t="str">
        <ns0:v>Servicio protegido de creación de reclamaciones.</ns0:v>
      </ns0:c>
      <ns0:c r="X110" s="79"/>
      <ns0:c r="Y110" s="79" t="str">
        <ns0:v>Pendiente: sin implementación atribuible.</ns0:v>
      </ns0:c>
      <ns0:c r="Z110" s="79" t="str">
        <ns0:v>Evidencias Git, fila 62</ns0:v>
      </ns0:c>
    </ns0:row>
    <ns0:row r="111" ht="100" customHeight="1">
      <ns0:c r="A111" s="79" t="str">
        <ns0:v>P09.03</ns0:v>
      </ns0:c>
      <ns0:c r="B111" s="79" t="n">
        <ns0:v>2</ns0:v>
      </ns0:c>
      <ns0:c r="C111" s="79" t="str">
        <ns0:v>Interfaz de usuario: Presentar formulario de reclamación</ns0:v>
      </ns0:c>
      <ns0:c r="D111" s="79" t="str">
        <ns0:v>RF13; DOC19; DOC20</ns0:v>
      </ns0:c>
      <ns0:c r="E111" s="79" t="str">
        <ns0:v>P07.04, P07.05, P07.06, P06.01, P06.02, P09.01, P09.02</ns0:v>
      </ns0:c>
      <ns0:c r="F111" s="79" t="n">
        <ns0:v>3</ns0:v>
      </ns0:c>
      <ns0:c r="G111" s="79" t="str">
        <ns0:v>Pendiente</ns0:v>
      </ns0:c>
      <ns0:c r="H111" s="97" t="str">
        <ns0:v>Alvaro</ns0:v>
      </ns0:c>
      <ns0:c r="I111" s="98" t="n">
        <ns0:v>2</ns0:v>
      </ns0:c>
      <ns0:c r="J111" s="98" t="n">
        <ns0:v>2</ns0:v>
      </ns0:c>
      <ns0:c r="K111" s="98"/>
      <ns0:c r="L111" s="99"/>
      <ns0:c r="M111" s="99"/>
      <ns0:c r="N111" s="99"/>
      <ns0:c r="O111" s="99"/>
      <ns0:c r="P111" s="79" t="str">
        <ns0:f t="shared" si="32">IF(K111="","",K111-I111)</ns0:f>
      </ns0:c>
      <ns0:c r="Q111" s="79" t="str">
        <ns0:f t="shared" si="33">IF(OR(L111="",M111=""),"",M111-L111)</ns0:f>
      </ns0:c>
      <ns0:c r="R111" s="79" t="str">
        <ns0:f t="shared" si="34">IF(OR(N111="",O111=""),"",O111-N111)</ns0:f>
      </ns0:c>
      <ns0:c r="S111" s="79" t="str">
        <ns0:v>Rojo: caso que demuestre el fallo del criterio. Verde: implementar y ejecutar la prueba. Refactorizar sin perder el verde. Pruebas de interacción y validación de interfaz.</ns0:v>
      </ns0:c>
      <ns0:c r="T111" s="79" t="str">
        <ns0:v>Datos para reclamar y confirmación de envío.</ns0:v>
      </ns0:c>
      <ns0:c r="U111" s="79" t="str">
        <ns0:v>Word 10. Referencia del plan anterior: P09.01.</ns0:v>
      </ns0:c>
      <ns0:c r="V111" s="79" t="str">
        <ns0:f t="shared" si="35">IF(OR(G111="Implementada",G111="Reportada"),IF(OR(K111="",M111="",O111=""),"Faltan datos reales","Completo"),IF(G111="Parcial",IF(OR(K111="",M111=""),"Faltan horas/inicio","En curso"),"Pendiente"))</ns0:f>
        <ns0:v>Pendiente</ns0:v>
      </ns0:c>
      <ns0:c r="W111" s="79" t="str">
        <ns0:v>Formulario de reclamación conectado.</ns0:v>
      </ns0:c>
      <ns0:c r="X111" s="79"/>
      <ns0:c r="Y111" s="79" t="str">
        <ns0:v>Pendiente: sin implementación atribuible.</ns0:v>
      </ns0:c>
      <ns0:c r="Z111" s="79" t="str">
        <ns0:v>Evidencias Git, fila 63</ns0:v>
      </ns0:c>
    </ns0:row>
    <ns0:row r="112" ht="100" customHeight="1">
      <ns0:c r="A112" s="79" t="str">
        <ns0:v>P09.04</ns0:v>
      </ns0:c>
      <ns0:c r="B112" s="79" t="n">
        <ns0:v>2</ns0:v>
      </ns0:c>
      <ns0:c r="C112" s="79" t="str">
        <ns0:v>Seguridad: Proteger creación y consulta de reclamaciones</ns0:v>
      </ns0:c>
      <ns0:c r="D112" s="79" t="str">
        <ns0:v>RF13; DOC19; DOC20</ns0:v>
      </ns0:c>
      <ns0:c r="E112" s="79" t="str">
        <ns0:v>P07.04, P07.05, P07.06, P06.01, P06.02, P09.01, P09.02</ns0:v>
      </ns0:c>
      <ns0:c r="F112" s="79" t="n">
        <ns0:v>2</ns0:v>
      </ns0:c>
      <ns0:c r="G112" s="79" t="str">
        <ns0:v>Pendiente</ns0:v>
      </ns0:c>
      <ns0:c r="H112" s="97" t="str">
        <ns0:v>Alvaro</ns0:v>
      </ns0:c>
      <ns0:c r="I112" s="98" t="n">
        <ns0:v>1</ns0:v>
      </ns0:c>
      <ns0:c r="J112" s="98" t="n">
        <ns0:v>1</ns0:v>
      </ns0:c>
      <ns0:c r="K112" s="98"/>
      <ns0:c r="L112" s="99"/>
      <ns0:c r="M112" s="99"/>
      <ns0:c r="N112" s="99"/>
      <ns0:c r="O112" s="99"/>
      <ns0:c r="P112" s="79" t="str">
        <ns0:f t="shared" si="32">IF(K112="","",K112-I112)</ns0:f>
      </ns0:c>
      <ns0:c r="Q112" s="79" t="str">
        <ns0:f t="shared" si="33">IF(OR(L112="",M112=""),"",M112-L112)</ns0:f>
      </ns0:c>
      <ns0:c r="R112" s="79" t="str">
        <ns0:f t="shared" si="34">IF(OR(N112="",O112=""),"",O112-N112)</ns0:f>
      </ns0:c>
      <ns0:c r="S112" s="79" t="str">
        <ns0:v>Rojo: caso que demuestre el fallo del criterio. Verde: implementar y ejecutar la prueba. Refactorizar sin perder el verde. Casos autorizados y ataques/accesos rechazados.</ns0:v>
      </ns0:c>
      <ns0:c r="T112" s="79" t="str">
        <ns0:v>Identidad desde sesión y acceso de participantes.</ns0:v>
      </ns0:c>
      <ns0:c r="U112" s="79" t="str">
        <ns0:v>Word 10. Referencia del plan anterior: P09.01.</ns0:v>
      </ns0:c>
      <ns0:c r="V112" s="79" t="str">
        <ns0:f t="shared" si="35">IF(OR(G112="Implementada",G112="Reportada"),IF(OR(K112="",M112="",O112=""),"Faltan datos reales","Completo"),IF(G112="Parcial",IF(OR(K112="",M112=""),"Faltan horas/inicio","En curso"),"Pendiente"))</ns0:f>
        <ns0:v>Pendiente</ns0:v>
      </ns0:c>
      <ns0:c r="W112" s="79" t="str">
        <ns0:v>Servicio protegido de creación de reclamaciones.</ns0:v>
      </ns0:c>
      <ns0:c r="X112" s="79"/>
      <ns0:c r="Y112" s="79" t="str">
        <ns0:v>Pendiente: sin implementación atribuible.</ns0:v>
      </ns0:c>
      <ns0:c r="Z112" s="79" t="str">
        <ns0:v>Evidencias Git, fila 62</ns0:v>
      </ns0:c>
    </ns0:row>
    <ns0:row r="113" ht="100" customHeight="1">
      <ns0:c r="A113" s="79" t="str">
        <ns0:v>P09.05</ns0:v>
      </ns0:c>
      <ns0:c r="B113" s="79" t="n">
        <ns0:v>2</ns0:v>
      </ns0:c>
      <ns0:c r="C113" s="79" t="str">
        <ns0:v>Lógica de negocio: Gestionar comprobación de propiedad</ns0:v>
      </ns0:c>
      <ns0:c r="D113" s="79" t="str">
        <ns0:v>RF14; DOC17</ns0:v>
      </ns0:c>
      <ns0:c r="E113" s="79" t="str">
        <ns0:v>P09.01, P09.02, P09.03, P09.04, P06.13, P06.14, P06.15</ns0:v>
      </ns0:c>
      <ns0:c r="F113" s="79" t="n">
        <ns0:v>4</ns0:v>
      </ns0:c>
      <ns0:c r="G113" s="79" t="str">
        <ns0:v>Pendiente</ns0:v>
      </ns0:c>
      <ns0:c r="H113" s="97" t="str">
        <ns0:v>Jorge</ns0:v>
      </ns0:c>
      <ns0:c r="I113" s="98" t="n">
        <ns0:v>2</ns0:v>
      </ns0:c>
      <ns0:c r="J113" s="98" t="n">
        <ns0:v>2</ns0:v>
      </ns0:c>
      <ns0:c r="K113" s="98"/>
      <ns0:c r="L113" s="99"/>
      <ns0:c r="M113" s="99"/>
      <ns0:c r="N113" s="99"/>
      <ns0:c r="O113" s="99"/>
      <ns0:c r="P113" s="79" t="str">
        <ns0:f>IF(K113="","",K113-I113)</ns0:f>
      </ns0:c>
      <ns0:c r="Q113" s="79" t="str">
        <ns0:f>IF(OR(L113="",M113=""),"",M113-L113)</ns0:f>
      </ns0:c>
      <ns0:c r="R113" s="79" t="str">
        <ns0:f>IF(OR(N113="",O113=""),"",O113-N113)</ns0:f>
      </ns0:c>
      <ns0:c r="S113" s="79" t="str">
        <ns0:v>Rojo: caso que demuestre el fallo del criterio. Verde: implementar y ejecutar la prueba. Refactorizar sin perder el verde. Unitarias de reglas e integración donde corresponda.</ns0:v>
      </ns0:c>
      <ns0:c r="T113" s="79" t="str">
        <ns0:v>Comparar o revisar detalles según criterio acordado, sin entrega automática.</ns0:v>
      </ns0:c>
      <ns0:c r="U113" s="79" t="str">
        <ns0:v>Word 10. Referencia del plan anterior: P09.02.</ns0:v>
      </ns0:c>
      <ns0:c r="V113" s="79" t="str">
        <ns0:f>IF(OR(G113="Implementada",G113="Reportada"),IF(OR(K113="",M113="",O113=""),"Faltan datos reales","Completo"),IF(G113="Parcial",IF(OR(K113="",M113=""),"Faltan horas/inicio","En curso"),"Pendiente"))</ns0:f>
        <ns0:v>Pendiente</ns0:v>
      </ns0:c>
      <ns0:c r="W113" s="79" t="str">
        <ns0:v>Servicio de verificación con detalles protegidos.</ns0:v>
      </ns0:c>
      <ns0:c r="X113" s="79"/>
      <ns0:c r="Y113" s="79" t="str">
        <ns0:v>Pendiente: sin implementación atribuible.</ns0:v>
      </ns0:c>
      <ns0:c r="Z113" s="79" t="str">
        <ns0:v>Evidencias Git, fila 64</ns0:v>
      </ns0:c>
    </ns0:row>
    <ns0:row r="114" ht="100" customHeight="1">
      <ns0:c r="A114" s="79" t="str">
        <ns0:v>P09.06</ns0:v>
      </ns0:c>
      <ns0:c r="B114" s="79" t="n">
        <ns0:v>2</ns0:v>
      </ns0:c>
      <ns0:c r="C114" s="79" t="str">
        <ns0:v>Interfaz de usuario: Recoger y revisar prueba de propiedad</ns0:v>
      </ns0:c>
      <ns0:c r="D114" s="79" t="str">
        <ns0:v>RF14; DOC17</ns0:v>
      </ns0:c>
      <ns0:c r="E114" s="79" t="str">
        <ns0:v>P09.01, P09.02, P09.03, P09.04, P06.13, P06.14, P06.15, P09.05</ns0:v>
      </ns0:c>
      <ns0:c r="F114" s="79" t="n">
        <ns0:v>5</ns0:v>
      </ns0:c>
      <ns0:c r="G114" s="79" t="str">
        <ns0:v>Pendiente</ns0:v>
      </ns0:c>
      <ns0:c r="H114" s="97" t="str">
        <ns0:v>Iñigo</ns0:v>
      </ns0:c>
      <ns0:c r="I114" s="98" t="n">
        <ns0:v>2</ns0:v>
      </ns0:c>
      <ns0:c r="J114" s="98" t="n">
        <ns0:v>2</ns0:v>
      </ns0:c>
      <ns0:c r="K114" s="98"/>
      <ns0:c r="L114" s="99"/>
      <ns0:c r="M114" s="99"/>
      <ns0:c r="N114" s="99"/>
      <ns0:c r="O114" s="99"/>
      <ns0:c r="P114" s="79" t="str">
        <ns0:f t="shared" ref="P114:P123" si="36">IF(K114="","",K114-I114)</ns0:f>
      </ns0:c>
      <ns0:c r="Q114" s="79" t="str">
        <ns0:f t="shared" ref="Q114:Q123" si="37">IF(OR(L114="",M114=""),"",M114-L114)</ns0:f>
      </ns0:c>
      <ns0:c r="R114" s="79" t="str">
        <ns0:f t="shared" ref="R114:R123" si="38">IF(OR(N114="",O114=""),"",O114-N114)</ns0:f>
      </ns0:c>
      <ns0:c r="S114" s="79" t="str">
        <ns0:v>Rojo: caso que demuestre el fallo del criterio. Verde: implementar y ejecutar la prueba. Refactorizar sin perder el verde. Pruebas de interacción y validación de interfaz.</ns0:v>
      </ns0:c>
      <ns0:c r="T114" s="79" t="str">
        <ns0:v>Pantallas de solicitante y persona que verifica.</ns0:v>
      </ns0:c>
      <ns0:c r="U114" s="79" t="str">
        <ns0:v>Word 10. Referencia del plan anterior: P09.02.</ns0:v>
      </ns0:c>
      <ns0:c r="V114" s="79" t="str">
        <ns0:f t="shared" ref="V114:V123" si="39">IF(OR(G114="Implementada",G114="Reportada"),IF(OR(K114="",M114="",O114=""),"Faltan datos reales","Completo"),IF(G114="Parcial",IF(OR(K114="",M114=""),"Faltan horas/inicio","En curso"),"Pendiente"))</ns0:f>
        <ns0:v>Pendiente</ns0:v>
      </ns0:c>
      <ns0:c r="W114" s="79" t="str">
        <ns0:v>Pantallas de verificación conectadas.</ns0:v>
      </ns0:c>
      <ns0:c r="X114" s="79"/>
      <ns0:c r="Y114" s="79" t="str">
        <ns0:v>Pendiente: sin implementación atribuible.</ns0:v>
      </ns0:c>
      <ns0:c r="Z114" s="79" t="str">
        <ns0:v>Evidencias Git, fila 65</ns0:v>
      </ns0:c>
    </ns0:row>
    <ns0:row r="115" ht="100" customHeight="1">
      <ns0:c r="A115" s="79" t="str">
        <ns0:v>P09.07</ns0:v>
      </ns0:c>
      <ns0:c r="B115" s="79" t="n">
        <ns0:v>2</ns0:v>
      </ns0:c>
      <ns0:c r="C115" s="79" t="str">
        <ns0:v>Seguridad: Proteger respuestas y detalles de verificación</ns0:v>
      </ns0:c>
      <ns0:c r="D115" s="79" t="str">
        <ns0:v>RF14; DOC17</ns0:v>
      </ns0:c>
      <ns0:c r="E115" s="79" t="str">
        <ns0:v>P09.01, P09.02, P09.03, P09.04, P06.13, P06.14, P06.15, P09.05</ns0:v>
      </ns0:c>
      <ns0:c r="F115" s="79" t="n">
        <ns0:v>4</ns0:v>
      </ns0:c>
      <ns0:c r="G115" s="79" t="str">
        <ns0:v>Pendiente</ns0:v>
      </ns0:c>
      <ns0:c r="H115" s="97" t="str">
        <ns0:v>Gonzalo</ns0:v>
      </ns0:c>
      <ns0:c r="I115" s="98" t="n">
        <ns0:v>2</ns0:v>
      </ns0:c>
      <ns0:c r="J115" s="98" t="n">
        <ns0:v>2</ns0:v>
      </ns0:c>
      <ns0:c r="K115" s="98"/>
      <ns0:c r="L115" s="99"/>
      <ns0:c r="M115" s="99"/>
      <ns0:c r="N115" s="99"/>
      <ns0:c r="O115" s="99"/>
      <ns0:c r="P115" s="79" t="str">
        <ns0:f t="shared" si="36">IF(K115="","",K115-I115)</ns0:f>
      </ns0:c>
      <ns0:c r="Q115" s="79" t="str">
        <ns0:f t="shared" si="37">IF(OR(L115="",M115=""),"",M115-L115)</ns0:f>
      </ns0:c>
      <ns0:c r="R115" s="79" t="str">
        <ns0:f t="shared" si="38">IF(OR(N115="",O115=""),"",O115-N115)</ns0:f>
      </ns0:c>
      <ns0:c r="S115" s="79" t="str">
        <ns0:v>Rojo: caso que demuestre el fallo del criterio. Verde: implementar y ejecutar la prueba. Refactorizar sin perder el verde. Casos autorizados y ataques/accesos rechazados.</ns0:v>
      </ns0:c>
      <ns0:c r="T115" s="79" t="str">
        <ns0:v>Datos ocultos accesibles solo a quien corresponda.</ns0:v>
      </ns0:c>
      <ns0:c r="U115" s="79" t="str">
        <ns0:v>Word 10. Referencia del plan anterior: P09.02.</ns0:v>
      </ns0:c>
      <ns0:c r="V115" s="79" t="str">
        <ns0:f t="shared" si="39">IF(OR(G115="Implementada",G115="Reportada"),IF(OR(K115="",M115="",O115=""),"Faltan datos reales","Completo"),IF(G115="Parcial",IF(OR(K115="",M115=""),"Faltan horas/inicio","En curso"),"Pendiente"))</ns0:f>
        <ns0:v>Pendiente</ns0:v>
      </ns0:c>
      <ns0:c r="W115" s="79" t="str">
        <ns0:v>Servicio de verificación con detalles protegidos.</ns0:v>
      </ns0:c>
      <ns0:c r="X115" s="79"/>
      <ns0:c r="Y115" s="79" t="str">
        <ns0:v>Pendiente: sin implementación atribuible.</ns0:v>
      </ns0:c>
      <ns0:c r="Z115" s="79" t="str">
        <ns0:v>Evidencias Git, fila 64</ns0:v>
      </ns0:c>
    </ns0:row>
    <ns0:row r="116" ht="100" customHeight="1">
      <ns0:c r="A116" s="79" t="str">
        <ns0:v>P09.08</ns0:v>
      </ns0:c>
      <ns0:c r="B116" s="79" t="n">
        <ns0:v>2</ns0:v>
      </ns0:c>
      <ns0:c r="C116" s="79" t="str">
        <ns0:v>Lógica de negocio: Aplicar decisiones y transiciones de reclamación</ns0:v>
      </ns0:c>
      <ns0:c r="D116" s="79" t="str">
        <ns0:v>RF25; RF17</ns0:v>
      </ns0:c>
      <ns0:c r="E116" s="79" t="str">
        <ns0:v>P09.05, P09.06, P09.07</ns0:v>
      </ns0:c>
      <ns0:c r="F116" s="79" t="n">
        <ns0:v>6</ns0:v>
      </ns0:c>
      <ns0:c r="G116" s="79" t="str">
        <ns0:v>Pendiente</ns0:v>
      </ns0:c>
      <ns0:c r="H116" s="97" t="str">
        <ns0:v>Gonzalo</ns0:v>
      </ns0:c>
      <ns0:c r="I116" s="98" t="n">
        <ns0:v>3</ns0:v>
      </ns0:c>
      <ns0:c r="J116" s="98" t="n">
        <ns0:v>3</ns0:v>
      </ns0:c>
      <ns0:c r="K116" s="98"/>
      <ns0:c r="L116" s="99"/>
      <ns0:c r="M116" s="99"/>
      <ns0:c r="N116" s="99"/>
      <ns0:c r="O116" s="99"/>
      <ns0:c r="P116" s="79" t="str">
        <ns0:f t="shared" si="36">IF(K116="","",K116-I116)</ns0:f>
      </ns0:c>
      <ns0:c r="Q116" s="79" t="str">
        <ns0:f t="shared" si="37">IF(OR(L116="",M116=""),"",M116-L116)</ns0:f>
      </ns0:c>
      <ns0:c r="R116" s="79" t="str">
        <ns0:f t="shared" si="38">IF(OR(N116="",O116=""),"",O116-N116)</ns0:f>
      </ns0:c>
      <ns0:c r="S116" s="79" t="str">
        <ns0:v>Rojo: caso que demuestre el fallo del criterio. Verde: implementar y ejecutar la prueba. Refactorizar sin perder el verde. Unitarias de reglas e integración donde corresponda.</ns0:v>
      </ns0:c>
      <ns0:c r="T116" s="79" t="str">
        <ns0:v>Aceptar/rechazar con transiciones válidas y actualización consistente.</ns0:v>
      </ns0:c>
      <ns0:c r="U116" s="79" t="str">
        <ns0:v>RF25 del catálogo; Word 10 y 12. Referencia del plan anterior: P09.03.</ns0:v>
      </ns0:c>
      <ns0:c r="V116" s="79" t="str">
        <ns0:f t="shared" si="39">IF(OR(G116="Implementada",G116="Reportada"),IF(OR(K116="",M116="",O116=""),"Faltan datos reales","Completo"),IF(G116="Parcial",IF(OR(K116="",M116=""),"Faltan horas/inicio","En curso"),"Pendiente"))</ns0:f>
        <ns0:v>Pendiente</ns0:v>
      </ns0:c>
      <ns0:c r="W116" s="79" t="str">
        <ns0:v>Transiciones de reclamación comprobadas como servicio.</ns0:v>
      </ns0:c>
      <ns0:c r="X116" s="79"/>
      <ns0:c r="Y116" s="79" t="str">
        <ns0:v>Pendiente: sin implementación atribuible.</ns0:v>
      </ns0:c>
      <ns0:c r="Z116" s="79" t="str">
        <ns0:v>Evidencias Git, fila 66</ns0:v>
      </ns0:c>
    </ns0:row>
    <ns0:row r="117" ht="100" customHeight="1">
      <ns0:c r="A117" s="79" t="str">
        <ns0:v>P09.09</ns0:v>
      </ns0:c>
      <ns0:c r="B117" s="79" t="n">
        <ns0:v>2</ns0:v>
      </ns0:c>
      <ns0:c r="C117" s="79" t="str">
        <ns0:v>Interfaz de usuario: Mostrar estado y acciones de reclamación</ns0:v>
      </ns0:c>
      <ns0:c r="D117" s="79" t="str">
        <ns0:v>RF25; RF17</ns0:v>
      </ns0:c>
      <ns0:c r="E117" s="79" t="str">
        <ns0:v>P09.05, P09.06, P09.07, P09.08</ns0:v>
      </ns0:c>
      <ns0:c r="F117" s="79" t="n">
        <ns0:v>7</ns0:v>
      </ns0:c>
      <ns0:c r="G117" s="79" t="str">
        <ns0:v>Pendiente</ns0:v>
      </ns0:c>
      <ns0:c r="H117" s="97" t="str">
        <ns0:v>Iñigo</ns0:v>
      </ns0:c>
      <ns0:c r="I117" s="98" t="n">
        <ns0:v>1</ns0:v>
      </ns0:c>
      <ns0:c r="J117" s="98" t="n">
        <ns0:v>1</ns0:v>
      </ns0:c>
      <ns0:c r="K117" s="98"/>
      <ns0:c r="L117" s="99"/>
      <ns0:c r="M117" s="99"/>
      <ns0:c r="N117" s="99"/>
      <ns0:c r="O117" s="99"/>
      <ns0:c r="P117" s="79" t="str">
        <ns0:f t="shared" si="36">IF(K117="","",K117-I117)</ns0:f>
      </ns0:c>
      <ns0:c r="Q117" s="79" t="str">
        <ns0:f t="shared" si="37">IF(OR(L117="",M117=""),"",M117-L117)</ns0:f>
      </ns0:c>
      <ns0:c r="R117" s="79" t="str">
        <ns0:f t="shared" si="38">IF(OR(N117="",O117=""),"",O117-N117)</ns0:f>
      </ns0:c>
      <ns0:c r="S117" s="79" t="str">
        <ns0:v>Rojo: caso que demuestre el fallo del criterio. Verde: implementar y ejecutar la prueba. Refactorizar sin perder el verde. Pruebas de interacción y validación de interfaz.</ns0:v>
      </ns0:c>
      <ns0:c r="T117" s="79" t="str">
        <ns0:v>Estado actual y decisiones permitidas.</ns0:v>
      </ns0:c>
      <ns0:c r="U117" s="79" t="str">
        <ns0:v>RF25 del catálogo; Word 10 y 12. Referencia del plan anterior: P09.03.</ns0:v>
      </ns0:c>
      <ns0:c r="V117" s="79" t="str">
        <ns0:f t="shared" si="39">IF(OR(G117="Implementada",G117="Reportada"),IF(OR(K117="",M117="",O117=""),"Faltan datos reales","Completo"),IF(G117="Parcial",IF(OR(K117="",M117=""),"Faltan horas/inicio","En curso"),"Pendiente"))</ns0:f>
        <ns0:v>Pendiente</ns0:v>
      </ns0:c>
      <ns0:c r="W117" s="79" t="str">
        <ns0:v>Decisiones y estados verificados con dos usuarios.</ns0:v>
      </ns0:c>
      <ns0:c r="X117" s="79"/>
      <ns0:c r="Y117" s="79" t="str">
        <ns0:v>Pendiente: sin implementación atribuible.</ns0:v>
      </ns0:c>
      <ns0:c r="Z117" s="79" t="str">
        <ns0:v>Evidencias Git, fila 67</ns0:v>
      </ns0:c>
    </ns0:row>
    <ns0:row r="118" ht="100" customHeight="1">
      <ns0:c r="A118" s="79" t="str">
        <ns0:v>P09.10</ns0:v>
      </ns0:c>
      <ns0:c r="B118" s="79" t="n">
        <ns0:v>2</ns0:v>
      </ns0:c>
      <ns0:c r="C118" s="79" t="str">
        <ns0:v>Integración: Comprobar reclamación y decisiones con dos usuarios</ns0:v>
      </ns0:c>
      <ns0:c r="D118" s="79" t="str">
        <ns0:v>RF25; RF17</ns0:v>
      </ns0:c>
      <ns0:c r="E118" s="79" t="str">
        <ns0:v>P09.05, P09.06, P09.07, P09.08, P09.09</ns0:v>
      </ns0:c>
      <ns0:c r="F118" s="79" t="n">
        <ns0:v>7</ns0:v>
      </ns0:c>
      <ns0:c r="G118" s="79" t="str">
        <ns0:v>Pendiente</ns0:v>
      </ns0:c>
      <ns0:c r="H118" s="97" t="str">
        <ns0:v>Alejandro</ns0:v>
      </ns0:c>
      <ns0:c r="I118" s="98" t="n">
        <ns0:v>2</ns0:v>
      </ns0:c>
      <ns0:c r="J118" s="98" t="n">
        <ns0:v>2</ns0:v>
      </ns0:c>
      <ns0:c r="K118" s="98"/>
      <ns0:c r="L118" s="99"/>
      <ns0:c r="M118" s="99"/>
      <ns0:c r="N118" s="99"/>
      <ns0:c r="O118" s="99"/>
      <ns0:c r="P118" s="79" t="str">
        <ns0:f t="shared" si="36">IF(K118="","",K118-I118)</ns0:f>
      </ns0:c>
      <ns0:c r="Q118" s="79" t="str">
        <ns0:f t="shared" si="37">IF(OR(L118="",M118=""),"",M118-L118)</ns0:f>
      </ns0:c>
      <ns0:c r="R118" s="79" t="str">
        <ns0:f t="shared" si="38">IF(OR(N118="",O118=""),"",O118-N118)</ns0:f>
      </ns0:c>
      <ns0:c r="S118" s="79" t="str">
        <ns0:v>Rojo: caso que demuestre el fallo del criterio. Verde: implementar y ejecutar la prueba. Refactorizar sin perder el verde. Comprobar componentes conectados y flujo E2E pertinente.</ns0:v>
      </ns0:c>
      <ns0:c r="T118" s="79" t="str">
        <ns0:v>Permisos, estado persistente y distinción entre reclamación y entrega.</ns0:v>
      </ns0:c>
      <ns0:c r="U118" s="79" t="str">
        <ns0:v>RF25 del catálogo; Word 10 y 12. Referencia del plan anterior: P09.03.</ns0:v>
      </ns0:c>
      <ns0:c r="V118" s="79" t="str">
        <ns0:f t="shared" si="39">IF(OR(G118="Implementada",G118="Reportada"),IF(OR(K118="",M118="",O118=""),"Faltan datos reales","Completo"),IF(G118="Parcial",IF(OR(K118="",M118=""),"Faltan horas/inicio","En curso"),"Pendiente"))</ns0:f>
        <ns0:v>Pendiente</ns0:v>
      </ns0:c>
      <ns0:c r="W118" s="79" t="str">
        <ns0:v>Decisiones y estados verificados con dos usuarios.</ns0:v>
      </ns0:c>
      <ns0:c r="X118" s="79"/>
      <ns0:c r="Y118" s="79" t="str">
        <ns0:v>Pendiente: sin implementación atribuible.</ns0:v>
      </ns0:c>
      <ns0:c r="Z118" s="79" t="str">
        <ns0:v>Evidencias Git, fila 67</ns0:v>
      </ns0:c>
    </ns0:row>
    <ns0:row r="119" ht="30" customHeight="1">
      <ns0:c r="A119" s="94" t="str">
        <ns0:v>P10</ns0:v>
      </ns0:c>
      <ns0:c r="B119" s="94" t="n">
        <ns0:v>1</ns0:v>
      </ns0:c>
      <ns0:c r="C119" s="94" t="str">
        <ns0:v>Conversaciones y mensajes</ns0:v>
      </ns0:c>
      <ns0:c r="D119" s="94"/>
      <ns0:c r="E119" s="94"/>
      <ns0:c r="F119" s="94"/>
      <ns0:c r="G119" s="94"/>
      <ns0:c r="H119" s="94"/>
      <ns0:c r="I119" s="95" t="n">
        <ns0:f>SUM(I120:I129)</ns0:f>
        <ns0:v>19</ns0:v>
      </ns0:c>
      <ns0:c r="J119" s="95" t="n">
        <ns0:f>SUM(J120:J129)</ns0:f>
        <ns0:v>19</ns0:v>
      </ns0:c>
      <ns0:c r="K119" s="95" t="str">
        <ns0:f>IF(COUNT(K120:K129)=0,"",SUM(K120:K129))</ns0:f>
      </ns0:c>
      <ns0:c r="L119" s="96" t="str">
        <ns0:f>IF(COUNT(L120:L129)=10,MIN(L120:L129),"")</ns0:f>
      </ns0:c>
      <ns0:c r="M119" s="96" t="str">
        <ns0:f>IF(COUNT(M120:M129)=10,MIN(M120:M129),"")</ns0:f>
      </ns0:c>
      <ns0:c r="N119" s="96" t="str">
        <ns0:f>IF(COUNT(N120:N129)=10,MAX(N120:N129),"")</ns0:f>
      </ns0:c>
      <ns0:c r="O119" s="96" t="str">
        <ns0:f>IF(COUNT(O120:O129)=10,MAX(O120:O129),"")</ns0:f>
      </ns0:c>
      <ns0:c r="S119" s="94"/>
      <ns0:c r="T119" s="94"/>
      <ns0:c r="U119" s="94"/>
      <ns0:c r="W119" s="94"/>
      <ns0:c r="X119" s="94"/>
      <ns0:c r="Y119" s="94"/>
      <ns0:c r="Z119" s="94"/>
    </ns0:row>
    <ns0:row r="120" ht="100" customHeight="1">
      <ns0:c r="A120" s="79" t="str">
        <ns0:v>P10.01</ns0:v>
      </ns0:c>
      <ns0:c r="B120" s="79" t="n">
        <ns0:v>2</ns0:v>
      </ns0:c>
      <ns0:c r="C120" s="79" t="str">
        <ns0:v>Base de datos: Crear conversaciones y participantes</ns0:v>
      </ns0:c>
      <ns0:c r="D120" s="79" t="str">
        <ns0:v>RF15; RF26; DOC19; DOC20</ns0:v>
      </ns0:c>
      <ns0:c r="E120" s="79" t="str">
        <ns0:v>P09.01, P09.02, P09.03, P09.04, P08.06, P08.07, P08.08, P08.09</ns0:v>
      </ns0:c>
      <ns0:c r="F120" s="79" t="n">
        <ns0:v>1</ns0:v>
      </ns0:c>
      <ns0:c r="G120" s="79" t="str">
        <ns0:v>Pendiente</ns0:v>
      </ns0:c>
      <ns0:c r="H120" s="97" t="str">
        <ns0:v>Jesús</ns0:v>
      </ns0:c>
      <ns0:c r="I120" s="98" t="n">
        <ns0:v>2</ns0:v>
      </ns0:c>
      <ns0:c r="J120" s="98" t="n">
        <ns0:v>2</ns0:v>
      </ns0:c>
      <ns0:c r="K120" s="98"/>
      <ns0:c r="L120" s="99"/>
      <ns0:c r="M120" s="99"/>
      <ns0:c r="N120" s="99"/>
      <ns0:c r="O120" s="99"/>
      <ns0:c r="P120" s="79" t="str">
        <ns0:f t="shared" si="36">IF(K120="","",K120-I120)</ns0:f>
      </ns0:c>
      <ns0:c r="Q120" s="79" t="str">
        <ns0:f t="shared" si="37">IF(OR(L120="",M120=""),"",M120-L120)</ns0:f>
      </ns0:c>
      <ns0:c r="R120" s="79" t="str">
        <ns0:f t="shared" si="38">IF(OR(N120="",O120=""),"",O120-N120)</ns0:f>
      </ns0:c>
      <ns0:c r="S120" s="79" t="str">
        <ns0:v>Rojo: caso que demuestre el fallo del criterio. Verde: implementar y ejecutar la prueba. Refactorizar sin perder el verde. Pruebas de integración contra PostgreSQL.</ns0:v>
      </ns0:c>
      <ns0:c r="T120" s="79" t="str">
        <ns0:v>Vínculo a coincidencia/reclamación y participantes sin duplicados.</ns0:v>
      </ns0:c>
      <ns0:c r="U120" s="79" t="str">
        <ns0:v>Word 11. Referencia del plan anterior: P10.01.</ns0:v>
      </ns0:c>
      <ns0:c r="V120" s="79" t="str">
        <ns0:f t="shared" si="39">IF(OR(G120="Implementada",G120="Reportada"),IF(OR(K120="",M120="",O120=""),"Faltan datos reales","Completo"),IF(G120="Parcial",IF(OR(K120="",M120=""),"Faltan horas/inicio","En curso"),"Pendiente"))</ns0:f>
        <ns0:v>Pendiente</ns0:v>
      </ns0:c>
      <ns0:c r="W120" s="79" t="str">
        <ns0:v>Modelo de conversaciones y participantes disponible.</ns0:v>
      </ns0:c>
      <ns0:c r="X120" s="79"/>
      <ns0:c r="Y120" s="79" t="str">
        <ns0:v>Pendiente: sin implementación atribuible.</ns0:v>
      </ns0:c>
      <ns0:c r="Z120" s="79" t="str">
        <ns0:v>Evidencias Git, fila 68</ns0:v>
      </ns0:c>
    </ns0:row>
    <ns0:row r="121" ht="100" customHeight="1">
      <ns0:c r="A121" s="79" t="str">
        <ns0:v>P10.02</ns0:v>
      </ns0:c>
      <ns0:c r="B121" s="79" t="n">
        <ns0:v>2</ns0:v>
      </ns0:c>
      <ns0:c r="C121" s="79" t="str">
        <ns0:v>Lógica de negocio: Abrir conversación para participantes válidos</ns0:v>
      </ns0:c>
      <ns0:c r="D121" s="79" t="str">
        <ns0:v>RF15; RF26; DOC19; DOC20</ns0:v>
      </ns0:c>
      <ns0:c r="E121" s="79" t="str">
        <ns0:v>P09.01, P09.02, P09.03, P09.04, P08.06, P08.07, P08.08, P08.09, P10.01</ns0:v>
      </ns0:c>
      <ns0:c r="F121" s="79" t="n">
        <ns0:v>2</ns0:v>
      </ns0:c>
      <ns0:c r="G121" s="79" t="str">
        <ns0:v>Pendiente</ns0:v>
      </ns0:c>
      <ns0:c r="H121" s="97" t="str">
        <ns0:v>Alvaro</ns0:v>
      </ns0:c>
      <ns0:c r="I121" s="98" t="n">
        <ns0:v>2</ns0:v>
      </ns0:c>
      <ns0:c r="J121" s="98" t="n">
        <ns0:v>2</ns0:v>
      </ns0:c>
      <ns0:c r="K121" s="98"/>
      <ns0:c r="L121" s="99"/>
      <ns0:c r="M121" s="99"/>
      <ns0:c r="N121" s="99"/>
      <ns0:c r="O121" s="99"/>
      <ns0:c r="P121" s="79" t="str">
        <ns0:f t="shared" si="36">IF(K121="","",K121-I121)</ns0:f>
      </ns0:c>
      <ns0:c r="Q121" s="79" t="str">
        <ns0:f t="shared" si="37">IF(OR(L121="",M121=""),"",M121-L121)</ns0:f>
      </ns0:c>
      <ns0:c r="R121" s="79" t="str">
        <ns0:f t="shared" si="38">IF(OR(N121="",O121=""),"",O121-N121)</ns0:f>
      </ns0:c>
      <ns0:c r="S121" s="79" t="str">
        <ns0:v>Rojo: caso que demuestre el fallo del criterio. Verde: implementar y ejecutar la prueba. Refactorizar sin perder el verde. Unitarias de reglas e integración donde corresponda.</ns0:v>
      </ns0:c>
      <ns0:c r="T121" s="79" t="str">
        <ns0:v>Reutilizar conversación existente y validar relación.</ns0:v>
      </ns0:c>
      <ns0:c r="U121" s="79" t="str">
        <ns0:v>Word 11. Referencia del plan anterior: P10.01.</ns0:v>
      </ns0:c>
      <ns0:c r="V121" s="79" t="str">
        <ns0:f t="shared" si="39">IF(OR(G121="Implementada",G121="Reportada"),IF(OR(K121="",M121="",O121=""),"Faltan datos reales","Completo"),IF(G121="Parcial",IF(OR(K121="",M121=""),"Faltan horas/inicio","En curso"),"Pendiente"))</ns0:f>
        <ns0:v>Pendiente</ns0:v>
      </ns0:c>
      <ns0:c r="W121" s="79" t="str">
        <ns0:v>Servicio de conversaciones restringido a participantes.</ns0:v>
      </ns0:c>
      <ns0:c r="X121" s="79"/>
      <ns0:c r="Y121" s="79" t="str">
        <ns0:v>Pendiente: sin implementación atribuible.</ns0:v>
      </ns0:c>
      <ns0:c r="Z121" s="79" t="str">
        <ns0:v>Evidencias Git, fila 69</ns0:v>
      </ns0:c>
    </ns0:row>
    <ns0:row r="122" ht="100" customHeight="1">
      <ns0:c r="A122" s="79" t="str">
        <ns0:v>P10.03</ns0:v>
      </ns0:c>
      <ns0:c r="B122" s="79" t="n">
        <ns0:v>2</ns0:v>
      </ns0:c>
      <ns0:c r="C122" s="79" t="str">
        <ns0:v>Seguridad: Limitar acceso a participantes del chat</ns0:v>
      </ns0:c>
      <ns0:c r="D122" s="79" t="str">
        <ns0:v>RF15; RF26; DOC19; DOC20</ns0:v>
      </ns0:c>
      <ns0:c r="E122" s="79" t="str">
        <ns0:v>P09.01, P09.02, P09.03, P09.04, P08.06, P08.07, P08.08, P08.09, P10.01, P10.02</ns0:v>
      </ns0:c>
      <ns0:c r="F122" s="79" t="n">
        <ns0:v>2</ns0:v>
      </ns0:c>
      <ns0:c r="G122" s="79" t="str">
        <ns0:v>Pendiente</ns0:v>
      </ns0:c>
      <ns0:c r="H122" s="97" t="str">
        <ns0:v>Jorge</ns0:v>
      </ns0:c>
      <ns0:c r="I122" s="98" t="n">
        <ns0:v>2</ns0:v>
      </ns0:c>
      <ns0:c r="J122" s="98" t="n">
        <ns0:v>2</ns0:v>
      </ns0:c>
      <ns0:c r="K122" s="98"/>
      <ns0:c r="L122" s="99"/>
      <ns0:c r="M122" s="99"/>
      <ns0:c r="N122" s="99"/>
      <ns0:c r="O122" s="99"/>
      <ns0:c r="P122" s="79" t="str">
        <ns0:f t="shared" si="36">IF(K122="","",K122-I122)</ns0:f>
      </ns0:c>
      <ns0:c r="Q122" s="79" t="str">
        <ns0:f t="shared" si="37">IF(OR(L122="",M122=""),"",M122-L122)</ns0:f>
      </ns0:c>
      <ns0:c r="R122" s="79" t="str">
        <ns0:f t="shared" si="38">IF(OR(N122="",O122=""),"",O122-N122)</ns0:f>
      </ns0:c>
      <ns0:c r="S122" s="79" t="str">
        <ns0:v>Rojo: caso que demuestre el fallo del criterio. Verde: implementar y ejecutar la prueba. Refactorizar sin perder el verde. Casos autorizados y ataques/accesos rechazados.</ns0:v>
      </ns0:c>
      <ns0:c r="T122" s="79" t="str">
        <ns0:v>Impedir lectura y escritura de terceros.</ns0:v>
      </ns0:c>
      <ns0:c r="U122" s="79" t="str">
        <ns0:v>Word 11. Referencia del plan anterior: P10.01.</ns0:v>
      </ns0:c>
      <ns0:c r="V122" s="79" t="str">
        <ns0:f t="shared" si="39">IF(OR(G122="Implementada",G122="Reportada"),IF(OR(K122="",M122="",O122=""),"Faltan datos reales","Completo"),IF(G122="Parcial",IF(OR(K122="",M122=""),"Faltan horas/inicio","En curso"),"Pendiente"))</ns0:f>
        <ns0:v>Pendiente</ns0:v>
      </ns0:c>
      <ns0:c r="W122" s="79" t="str">
        <ns0:v>Servicio de conversaciones restringido a participantes.</ns0:v>
      </ns0:c>
      <ns0:c r="X122" s="79"/>
      <ns0:c r="Y122" s="79" t="str">
        <ns0:v>Pendiente: sin implementación atribuible.</ns0:v>
      </ns0:c>
      <ns0:c r="Z122" s="79" t="str">
        <ns0:v>Evidencias Git, fila 69</ns0:v>
      </ns0:c>
    </ns0:row>
    <ns0:row r="123" ht="100" customHeight="1">
      <ns0:c r="A123" s="79" t="str">
        <ns0:v>P10.04</ns0:v>
      </ns0:c>
      <ns0:c r="B123" s="79" t="n">
        <ns0:v>2</ns0:v>
      </ns0:c>
      <ns0:c r="C123" s="79" t="str">
        <ns0:v>Base de datos: Crear mensajes y consulta ordenada</ns0:v>
      </ns0:c>
      <ns0:c r="D123" s="79" t="str">
        <ns0:v>RF15; DOC17</ns0:v>
      </ns0:c>
      <ns0:c r="E123" s="79" t="str">
        <ns0:v>P10.01, P10.02, P10.03</ns0:v>
      </ns0:c>
      <ns0:c r="F123" s="79" t="n">
        <ns0:v>3</ns0:v>
      </ns0:c>
      <ns0:c r="G123" s="79" t="str">
        <ns0:v>Pendiente</ns0:v>
      </ns0:c>
      <ns0:c r="H123" s="97" t="str">
        <ns0:v>Iñigo</ns0:v>
      </ns0:c>
      <ns0:c r="I123" s="98" t="n">
        <ns0:v>2</ns0:v>
      </ns0:c>
      <ns0:c r="J123" s="98" t="n">
        <ns0:v>2</ns0:v>
      </ns0:c>
      <ns0:c r="K123" s="98"/>
      <ns0:c r="L123" s="99"/>
      <ns0:c r="M123" s="99"/>
      <ns0:c r="N123" s="99"/>
      <ns0:c r="O123" s="99"/>
      <ns0:c r="P123" s="79" t="str">
        <ns0:f t="shared" si="36">IF(K123="","",K123-I123)</ns0:f>
      </ns0:c>
      <ns0:c r="Q123" s="79" t="str">
        <ns0:f t="shared" si="37">IF(OR(L123="",M123=""),"",M123-L123)</ns0:f>
      </ns0:c>
      <ns0:c r="R123" s="79" t="str">
        <ns0:f t="shared" si="38">IF(OR(N123="",O123=""),"",O123-N123)</ns0:f>
      </ns0:c>
      <ns0:c r="S123" s="79" t="str">
        <ns0:v>Rojo: caso que demuestre el fallo del criterio. Verde: implementar y ejecutar la prueba. Refactorizar sin perder el verde. Pruebas de integración contra PostgreSQL.</ns0:v>
      </ns0:c>
      <ns0:c r="T123" s="79" t="str">
        <ns0:v>Mensajes con emisor, conversación y fecha persistentes.</ns0:v>
      </ns0:c>
      <ns0:c r="U123" s="79" t="str">
        <ns0:v>Word 11. Referencia del plan anterior: P10.02.</ns0:v>
      </ns0:c>
      <ns0:c r="V123" s="79" t="str">
        <ns0:f t="shared" si="39">IF(OR(G123="Implementada",G123="Reportada"),IF(OR(K123="",M123="",O123=""),"Faltan datos reales","Completo"),IF(G123="Parcial",IF(OR(K123="",M123=""),"Faltan horas/inicio","En curso"),"Pendiente"))</ns0:f>
        <ns0:v>Pendiente</ns0:v>
      </ns0:c>
      <ns0:c r="W123" s="79" t="str">
        <ns0:v>Persistencia y consulta de mensajes disponible.</ns0:v>
      </ns0:c>
      <ns0:c r="X123" s="79"/>
      <ns0:c r="Y123" s="79" t="str">
        <ns0:v>Pendiente: sin implementación atribuible.</ns0:v>
      </ns0:c>
      <ns0:c r="Z123" s="79" t="str">
        <ns0:v>Evidencias Git, fila 70</ns0:v>
      </ns0:c>
    </ns0:row>
    <ns0:row r="124" ht="100" customHeight="1">
      <ns0:c r="A124" s="79" t="str">
        <ns0:v>P10.05</ns0:v>
      </ns0:c>
      <ns0:c r="B124" s="79" t="n">
        <ns0:v>2</ns0:v>
      </ns0:c>
      <ns0:c r="C124" s="79" t="str">
        <ns0:v>Lógica de negocio: Enviar y recuperar mensajes del chat</ns0:v>
      </ns0:c>
      <ns0:c r="D124" s="79" t="str">
        <ns0:v>RF15; DOC17</ns0:v>
      </ns0:c>
      <ns0:c r="E124" s="79" t="str">
        <ns0:v>P10.01, P10.02, P10.03, P10.04</ns0:v>
      </ns0:c>
      <ns0:c r="F124" s="79" t="n">
        <ns0:v>4</ns0:v>
      </ns0:c>
      <ns0:c r="G124" s="79" t="str">
        <ns0:v>Pendiente</ns0:v>
      </ns0:c>
      <ns0:c r="H124" s="97" t="str">
        <ns0:v>Alejandro</ns0:v>
      </ns0:c>
      <ns0:c r="I124" s="98" t="n">
        <ns0:v>3</ns0:v>
      </ns0:c>
      <ns0:c r="J124" s="98" t="n">
        <ns0:v>3</ns0:v>
      </ns0:c>
      <ns0:c r="K124" s="98"/>
      <ns0:c r="L124" s="99"/>
      <ns0:c r="M124" s="99"/>
      <ns0:c r="N124" s="99"/>
      <ns0:c r="O124" s="99"/>
      <ns0:c r="P124" s="79" t="str">
        <ns0:f>IF(K124="","",K124-I124)</ns0:f>
      </ns0:c>
      <ns0:c r="Q124" s="79" t="str">
        <ns0:f>IF(OR(L124="",M124=""),"",M124-L124)</ns0:f>
      </ns0:c>
      <ns0:c r="R124" s="79" t="str">
        <ns0:f>IF(OR(N124="",O124=""),"",O124-N124)</ns0:f>
      </ns0:c>
      <ns0:c r="S124" s="79" t="str">
        <ns0:v>Rojo: caso que demuestre el fallo del criterio. Verde: implementar y ejecutar la prueba. Refactorizar sin perder el verde. Unitarias de reglas e integración donde corresponda.</ns0:v>
      </ns0:c>
      <ns0:c r="T124" s="79" t="str">
        <ns0:v>Validar contenido y conservar orden.</ns0:v>
      </ns0:c>
      <ns0:c r="U124" s="79" t="str">
        <ns0:v>Word 11. Referencia del plan anterior: P10.02.</ns0:v>
      </ns0:c>
      <ns0:c r="V124" s="79" t="str">
        <ns0:f>IF(OR(G124="Implementada",G124="Reportada"),IF(OR(K124="",M124="",O124=""),"Faltan datos reales","Completo"),IF(G124="Parcial",IF(OR(K124="",M124=""),"Faltan horas/inicio","En curso"),"Pendiente"))</ns0:f>
        <ns0:v>Pendiente</ns0:v>
      </ns0:c>
      <ns0:c r="W124" s="79" t="str">
        <ns0:v>Servicio seguro de envío y lectura de mensajes.</ns0:v>
      </ns0:c>
      <ns0:c r="X124" s="79"/>
      <ns0:c r="Y124" s="79" t="str">
        <ns0:v>Pendiente: sin implementación atribuible.</ns0:v>
      </ns0:c>
      <ns0:c r="Z124" s="79" t="str">
        <ns0:v>Evidencias Git, fila 71</ns0:v>
      </ns0:c>
    </ns0:row>
    <ns0:row r="125" ht="100" customHeight="1">
      <ns0:c r="A125" s="79" t="str">
        <ns0:v>P10.06</ns0:v>
      </ns0:c>
      <ns0:c r="B125" s="79" t="n">
        <ns0:v>2</ns0:v>
      </ns0:c>
      <ns0:c r="C125" s="79" t="str">
        <ns0:v>Interfaz de usuario: Crear pantalla de conversación y envío</ns0:v>
      </ns0:c>
      <ns0:c r="D125" s="79" t="str">
        <ns0:v>RF15; DOC17</ns0:v>
      </ns0:c>
      <ns0:c r="E125" s="79" t="str">
        <ns0:v>P10.01, P10.02, P10.03, P10.04, P10.05</ns0:v>
      </ns0:c>
      <ns0:c r="F125" s="79" t="n">
        <ns0:v>5</ns0:v>
      </ns0:c>
      <ns0:c r="G125" s="79" t="str">
        <ns0:v>Pendiente</ns0:v>
      </ns0:c>
      <ns0:c r="H125" s="97" t="str">
        <ns0:v>Gonzalo</ns0:v>
      </ns0:c>
      <ns0:c r="I125" s="98" t="n">
        <ns0:v>2</ns0:v>
      </ns0:c>
      <ns0:c r="J125" s="98" t="n">
        <ns0:v>2</ns0:v>
      </ns0:c>
      <ns0:c r="K125" s="98"/>
      <ns0:c r="L125" s="99"/>
      <ns0:c r="M125" s="99"/>
      <ns0:c r="N125" s="99"/>
      <ns0:c r="O125" s="99"/>
      <ns0:c r="P125" s="79" t="str">
        <ns0:f t="shared" ref="P125:P130" si="40">IF(K125="","",K125-I125)</ns0:f>
      </ns0:c>
      <ns0:c r="Q125" s="79" t="str">
        <ns0:f t="shared" ref="Q125:Q130" si="41">IF(OR(L125="",M125=""),"",M125-L125)</ns0:f>
      </ns0:c>
      <ns0:c r="R125" s="79" t="str">
        <ns0:f t="shared" ref="R125:R130" si="42">IF(OR(N125="",O125=""),"",O125-N125)</ns0:f>
      </ns0:c>
      <ns0:c r="S125" s="79" t="str">
        <ns0:v>Rojo: caso que demuestre el fallo del criterio. Verde: implementar y ejecutar la prueba. Refactorizar sin perder el verde. Pruebas de interacción y validación de interfaz.</ns0:v>
      </ns0:c>
      <ns0:c r="T125" s="79" t="str">
        <ns0:v>Escritura, mensajes recibidos y errores claros.</ns0:v>
      </ns0:c>
      <ns0:c r="U125" s="79" t="str">
        <ns0:v>Word 11. Referencia del plan anterior: P10.02.</ns0:v>
      </ns0:c>
      <ns0:c r="V125" s="79" t="str">
        <ns0:f t="shared" ref="V125:V130" si="43">IF(OR(G125="Implementada",G125="Reportada"),IF(OR(K125="",M125="",O125=""),"Faltan datos reales","Completo"),IF(G125="Parcial",IF(OR(K125="",M125=""),"Faltan horas/inicio","En curso"),"Pendiente"))</ns0:f>
        <ns0:v>Pendiente</ns0:v>
      </ns0:c>
      <ns0:c r="W125" s="79" t="str">
        <ns0:v>Pantalla de chat conectada.</ns0:v>
      </ns0:c>
      <ns0:c r="X125" s="79"/>
      <ns0:c r="Y125" s="79" t="str">
        <ns0:v>Pendiente: sin implementación atribuible.</ns0:v>
      </ns0:c>
      <ns0:c r="Z125" s="79" t="str">
        <ns0:v>Evidencias Git, fila 72</ns0:v>
      </ns0:c>
    </ns0:row>
    <ns0:row r="126" ht="100" customHeight="1">
      <ns0:c r="A126" s="79" t="str">
        <ns0:v>P10.07</ns0:v>
      </ns0:c>
      <ns0:c r="B126" s="79" t="n">
        <ns0:v>2</ns0:v>
      </ns0:c>
      <ns0:c r="C126" s="79" t="str">
        <ns0:v>Seguridad: Tratar contenido de mensajes como texto seguro</ns0:v>
      </ns0:c>
      <ns0:c r="D126" s="79" t="str">
        <ns0:v>RF15; DOC17</ns0:v>
      </ns0:c>
      <ns0:c r="E126" s="79" t="str">
        <ns0:v>P10.01, P10.02, P10.03, P10.04, P10.05</ns0:v>
      </ns0:c>
      <ns0:c r="F126" s="79" t="n">
        <ns0:v>4</ns0:v>
      </ns0:c>
      <ns0:c r="G126" s="79" t="str">
        <ns0:v>Pendiente</ns0:v>
      </ns0:c>
      <ns0:c r="H126" s="97" t="str">
        <ns0:v>Gonzalo</ns0:v>
      </ns0:c>
      <ns0:c r="I126" s="98" t="n">
        <ns0:v>1</ns0:v>
      </ns0:c>
      <ns0:c r="J126" s="98" t="n">
        <ns0:v>1</ns0:v>
      </ns0:c>
      <ns0:c r="K126" s="98"/>
      <ns0:c r="L126" s="99"/>
      <ns0:c r="M126" s="99"/>
      <ns0:c r="N126" s="99"/>
      <ns0:c r="O126" s="99"/>
      <ns0:c r="P126" s="79" t="str">
        <ns0:f t="shared" si="40">IF(K126="","",K126-I126)</ns0:f>
      </ns0:c>
      <ns0:c r="Q126" s="79" t="str">
        <ns0:f t="shared" si="41">IF(OR(L126="",M126=""),"",M126-L126)</ns0:f>
      </ns0:c>
      <ns0:c r="R126" s="79" t="str">
        <ns0:f t="shared" si="42">IF(OR(N126="",O126=""),"",O126-N126)</ns0:f>
      </ns0:c>
      <ns0:c r="S126" s="79" t="str">
        <ns0:v>Rojo: caso que demuestre el fallo del criterio. Verde: implementar y ejecutar la prueba. Refactorizar sin perder el verde. Casos autorizados y ataques/accesos rechazados.</ns0:v>
      </ns0:c>
      <ns0:c r="T126" s="79" t="str">
        <ns0:v>No ejecutar HTML ni exponer datos personales innecesarios.</ns0:v>
      </ns0:c>
      <ns0:c r="U126" s="79" t="str">
        <ns0:v>Word 11. Referencia del plan anterior: P10.02.</ns0:v>
      </ns0:c>
      <ns0:c r="V126" s="79" t="str">
        <ns0:f t="shared" si="43">IF(OR(G126="Implementada",G126="Reportada"),IF(OR(K126="",M126="",O126=""),"Faltan datos reales","Completo"),IF(G126="Parcial",IF(OR(K126="",M126=""),"Faltan horas/inicio","En curso"),"Pendiente"))</ns0:f>
        <ns0:v>Pendiente</ns0:v>
      </ns0:c>
      <ns0:c r="W126" s="79" t="str">
        <ns0:v>Servicio seguro de envío y lectura de mensajes.</ns0:v>
      </ns0:c>
      <ns0:c r="X126" s="79"/>
      <ns0:c r="Y126" s="79" t="str">
        <ns0:v>Pendiente: sin implementación atribuible.</ns0:v>
      </ns0:c>
      <ns0:c r="Z126" s="79" t="str">
        <ns0:v>Evidencias Git, fila 71</ns0:v>
      </ns0:c>
    </ns0:row>
    <ns0:row r="127" ht="100" customHeight="1">
      <ns0:c r="A127" s="79" t="str">
        <ns0:v>P10.08</ns0:v>
      </ns0:c>
      <ns0:c r="B127" s="79" t="n">
        <ns0:v>2</ns0:v>
      </ns0:c>
      <ns0:c r="C127" s="79" t="str">
        <ns0:v>Lógica de negocio: Consultar conversaciones del usuario</ns0:v>
      </ns0:c>
      <ns0:c r="D127" s="79" t="str">
        <ns0:v>RF26</ns0:v>
      </ns0:c>
      <ns0:c r="E127" s="79" t="str">
        <ns0:v>P10.04, P10.05, P10.06, P10.07</ns0:v>
      </ns0:c>
      <ns0:c r="F127" s="79" t="n">
        <ns0:v>6</ns0:v>
      </ns0:c>
      <ns0:c r="G127" s="79" t="str">
        <ns0:v>Pendiente</ns0:v>
      </ns0:c>
      <ns0:c r="H127" s="97" t="str">
        <ns0:v>Alejandro</ns0:v>
      </ns0:c>
      <ns0:c r="I127" s="98" t="n">
        <ns0:v>1</ns0:v>
      </ns0:c>
      <ns0:c r="J127" s="98" t="n">
        <ns0:v>1</ns0:v>
      </ns0:c>
      <ns0:c r="K127" s="98"/>
      <ns0:c r="L127" s="99"/>
      <ns0:c r="M127" s="99"/>
      <ns0:c r="N127" s="99"/>
      <ns0:c r="O127" s="99"/>
      <ns0:c r="P127" s="79" t="str">
        <ns0:f t="shared" si="40">IF(K127="","",K127-I127)</ns0:f>
      </ns0:c>
      <ns0:c r="Q127" s="79" t="str">
        <ns0:f t="shared" si="41">IF(OR(L127="",M127=""),"",M127-L127)</ns0:f>
      </ns0:c>
      <ns0:c r="R127" s="79" t="str">
        <ns0:f t="shared" si="42">IF(OR(N127="",O127=""),"",O127-N127)</ns0:f>
      </ns0:c>
      <ns0:c r="S127" s="79" t="str">
        <ns0:v>Rojo: caso que demuestre el fallo del criterio. Verde: implementar y ejecutar la prueba. Refactorizar sin perder el verde. Unitarias de reglas e integración donde corresponda.</ns0:v>
      </ns0:c>
      <ns0:c r="T127" s="79" t="str">
        <ns0:v>Solo conversaciones propias con información resumida.</ns0:v>
      </ns0:c>
      <ns0:c r="U127" s="79" t="str">
        <ns0:v>RF26 del catálogo; Word 11 parcial. Referencia del plan anterior: P10.03.</ns0:v>
      </ns0:c>
      <ns0:c r="V127" s="79" t="str">
        <ns0:f t="shared" si="43">IF(OR(G127="Implementada",G127="Reportada"),IF(OR(K127="",M127="",O127=""),"Faltan datos reales","Completo"),IF(G127="Parcial",IF(OR(K127="",M127=""),"Faltan horas/inicio","En curso"),"Pendiente"))</ns0:f>
        <ns0:v>Pendiente</ns0:v>
      </ns0:c>
      <ns0:c r="W127" s="79" t="str">
        <ns0:v>Listado y conversación entre dos usuarios comprobados.</ns0:v>
      </ns0:c>
      <ns0:c r="X127" s="79"/>
      <ns0:c r="Y127" s="79" t="str">
        <ns0:v>Pendiente: sin implementación atribuible.</ns0:v>
      </ns0:c>
      <ns0:c r="Z127" s="79" t="str">
        <ns0:v>Evidencias Git, fila 73</ns0:v>
      </ns0:c>
    </ns0:row>
    <ns0:row r="128" ht="100" customHeight="1">
      <ns0:c r="A128" s="79" t="str">
        <ns0:v>P10.09</ns0:v>
      </ns0:c>
      <ns0:c r="B128" s="79" t="n">
        <ns0:v>2</ns0:v>
      </ns0:c>
      <ns0:c r="C128" s="79" t="str">
        <ns0:v>Interfaz de usuario: Listar conversaciones y abrir el chat</ns0:v>
      </ns0:c>
      <ns0:c r="D128" s="79" t="str">
        <ns0:v>RF26</ns0:v>
      </ns0:c>
      <ns0:c r="E128" s="79" t="str">
        <ns0:v>P10.04, P10.05, P10.06, P10.07, P10.08</ns0:v>
      </ns0:c>
      <ns0:c r="F128" s="79" t="n">
        <ns0:v>6</ns0:v>
      </ns0:c>
      <ns0:c r="G128" s="79" t="str">
        <ns0:v>Pendiente</ns0:v>
      </ns0:c>
      <ns0:c r="H128" s="97" t="str">
        <ns0:v>Alejandro</ns0:v>
      </ns0:c>
      <ns0:c r="I128" s="98" t="n">
        <ns0:v>2</ns0:v>
      </ns0:c>
      <ns0:c r="J128" s="98" t="n">
        <ns0:v>2</ns0:v>
      </ns0:c>
      <ns0:c r="K128" s="98"/>
      <ns0:c r="L128" s="99"/>
      <ns0:c r="M128" s="99"/>
      <ns0:c r="N128" s="99"/>
      <ns0:c r="O128" s="99"/>
      <ns0:c r="P128" s="79" t="str">
        <ns0:f t="shared" si="40">IF(K128="","",K128-I128)</ns0:f>
      </ns0:c>
      <ns0:c r="Q128" s="79" t="str">
        <ns0:f t="shared" si="41">IF(OR(L128="",M128=""),"",M128-L128)</ns0:f>
      </ns0:c>
      <ns0:c r="R128" s="79" t="str">
        <ns0:f t="shared" si="42">IF(OR(N128="",O128=""),"",O128-N128)</ns0:f>
      </ns0:c>
      <ns0:c r="S128" s="79" t="str">
        <ns0:v>Rojo: caso que demuestre el fallo del criterio. Verde: implementar y ejecutar la prueba. Refactorizar sin perder el verde. Pruebas de interacción y validación de interfaz.</ns0:v>
      </ns0:c>
      <ns0:c r="T128" s="79" t="str">
        <ns0:v>Listado, selección y navegación.</ns0:v>
      </ns0:c>
      <ns0:c r="U128" s="79" t="str">
        <ns0:v>RF26 del catálogo; Word 11 parcial. Referencia del plan anterior: P10.03.</ns0:v>
      </ns0:c>
      <ns0:c r="V128" s="79" t="str">
        <ns0:f t="shared" si="43">IF(OR(G128="Implementada",G128="Reportada"),IF(OR(K128="",M128="",O128=""),"Faltan datos reales","Completo"),IF(G128="Parcial",IF(OR(K128="",M128=""),"Faltan horas/inicio","En curso"),"Pendiente"))</ns0:f>
        <ns0:v>Pendiente</ns0:v>
      </ns0:c>
      <ns0:c r="W128" s="79" t="str">
        <ns0:v>Listado y conversación entre dos usuarios comprobados.</ns0:v>
      </ns0:c>
      <ns0:c r="X128" s="79"/>
      <ns0:c r="Y128" s="79" t="str">
        <ns0:v>Pendiente: sin implementación atribuible.</ns0:v>
      </ns0:c>
      <ns0:c r="Z128" s="79" t="str">
        <ns0:v>Evidencias Git, fila 73</ns0:v>
      </ns0:c>
    </ns0:row>
    <ns0:row r="129" ht="100" customHeight="1">
      <ns0:c r="A129" s="79" t="str">
        <ns0:v>P10.10</ns0:v>
      </ns0:c>
      <ns0:c r="B129" s="79" t="n">
        <ns0:v>2</ns0:v>
      </ns0:c>
      <ns0:c r="C129" s="79" t="str">
        <ns0:v>Integración: Verificar conversación entre dos usuarios</ns0:v>
      </ns0:c>
      <ns0:c r="D129" s="79" t="str">
        <ns0:v>RF26</ns0:v>
      </ns0:c>
      <ns0:c r="E129" s="79" t="str">
        <ns0:v>P10.04, P10.05, P10.06, P10.07, P10.08, P10.09</ns0:v>
      </ns0:c>
      <ns0:c r="F129" s="79" t="n">
        <ns0:v>6</ns0:v>
      </ns0:c>
      <ns0:c r="G129" s="79" t="str">
        <ns0:v>Pendiente</ns0:v>
      </ns0:c>
      <ns0:c r="H129" s="97" t="str">
        <ns0:v>Jesús</ns0:v>
      </ns0:c>
      <ns0:c r="I129" s="98" t="n">
        <ns0:v>2</ns0:v>
      </ns0:c>
      <ns0:c r="J129" s="98" t="n">
        <ns0:v>2</ns0:v>
      </ns0:c>
      <ns0:c r="K129" s="98"/>
      <ns0:c r="L129" s="99"/>
      <ns0:c r="M129" s="99"/>
      <ns0:c r="N129" s="99"/>
      <ns0:c r="O129" s="99"/>
      <ns0:c r="P129" s="79" t="str">
        <ns0:f t="shared" si="40">IF(K129="","",K129-I129)</ns0:f>
      </ns0:c>
      <ns0:c r="Q129" s="79" t="str">
        <ns0:f t="shared" si="41">IF(OR(L129="",M129=""),"",M129-L129)</ns0:f>
      </ns0:c>
      <ns0:c r="R129" s="79" t="str">
        <ns0:f t="shared" si="42">IF(OR(N129="",O129=""),"",O129-N129)</ns0:f>
      </ns0:c>
      <ns0:c r="S129" s="79" t="str">
        <ns0:v>Rojo: caso que demuestre el fallo del criterio. Verde: implementar y ejecutar la prueba. Refactorizar sin perder el verde. Comprobar componentes conectados y flujo E2E pertinente.</ns0:v>
      </ns0:c>
      <ns0:c r="T129" s="79" t="str">
        <ns0:v>Enviar, recibir y recargar; tercero sin acceso.</ns0:v>
      </ns0:c>
      <ns0:c r="U129" s="79" t="str">
        <ns0:v>RF26 del catálogo; Word 11 parcial. Referencia del plan anterior: P10.03.</ns0:v>
      </ns0:c>
      <ns0:c r="V129" s="79" t="str">
        <ns0:f t="shared" si="43">IF(OR(G129="Implementada",G129="Reportada"),IF(OR(K129="",M129="",O129=""),"Faltan datos reales","Completo"),IF(G129="Parcial",IF(OR(K129="",M129=""),"Faltan horas/inicio","En curso"),"Pendiente"))</ns0:f>
        <ns0:v>Pendiente</ns0:v>
      </ns0:c>
      <ns0:c r="W129" s="79" t="str">
        <ns0:v>Listado y conversación entre dos usuarios comprobados.</ns0:v>
      </ns0:c>
      <ns0:c r="X129" s="79"/>
      <ns0:c r="Y129" s="79" t="str">
        <ns0:v>Pendiente: sin implementación atribuible.</ns0:v>
      </ns0:c>
      <ns0:c r="Z129" s="79" t="str">
        <ns0:v>Evidencias Git, fila 73</ns0:v>
      </ns0:c>
    </ns0:row>
    <ns0:row r="130" ht="30" customHeight="1">
      <ns0:c r="A130" s="94" t="str">
        <ns0:v>P11</ns0:v>
      </ns0:c>
      <ns0:c r="B130" s="94" t="n">
        <ns0:v>1</ns0:v>
      </ns0:c>
      <ns0:c r="C130" s="94" t="str">
        <ns0:v>Devolución y estados finales</ns0:v>
      </ns0:c>
      <ns0:c r="D130" s="94"/>
      <ns0:c r="E130" s="94"/>
      <ns0:c r="F130" s="94"/>
      <ns0:c r="G130" s="94"/>
      <ns0:c r="H130" s="94"/>
      <ns0:c r="I130" s="95" t="n">
        <ns0:f>SUM(I131:I136)</ns0:f>
        <ns0:v>11</ns0:v>
      </ns0:c>
      <ns0:c r="J130" s="95" t="n">
        <ns0:f>SUM(J131:J136)</ns0:f>
        <ns0:v>11</ns0:v>
      </ns0:c>
      <ns0:c r="K130" s="95" t="str">
        <ns0:f>IF(COUNT(K131:K136)=0,"",SUM(K131:K136))</ns0:f>
      </ns0:c>
      <ns0:c r="L130" s="96" t="str">
        <ns0:f>IF(COUNT(L131:L136)=6,MIN(L131:L136),"")</ns0:f>
      </ns0:c>
      <ns0:c r="M130" s="96" t="str">
        <ns0:f>IF(COUNT(M131:M136)=6,MIN(M131:M136),"")</ns0:f>
      </ns0:c>
      <ns0:c r="N130" s="96" t="str">
        <ns0:f>IF(COUNT(N131:N136)=6,MAX(N131:N136),"")</ns0:f>
      </ns0:c>
      <ns0:c r="O130" s="96" t="str">
        <ns0:f>IF(COUNT(O131:O136)=6,MAX(O131:O136),"")</ns0:f>
      </ns0:c>
      <ns0:c r="S130" s="94"/>
      <ns0:c r="T130" s="94"/>
      <ns0:c r="U130" s="94"/>
      <ns0:c r="W130" s="94"/>
      <ns0:c r="X130" s="94"/>
      <ns0:c r="Y130" s="94"/>
      <ns0:c r="Z130" s="94"/>
    </ns0:row>
    <ns0:row r="131" ht="100" customHeight="1">
      <ns0:c r="A131" s="79" t="str">
        <ns0:v>P11.01</ns0:v>
      </ns0:c>
      <ns0:c r="B131" s="79" t="n">
        <ns0:v>2</ns0:v>
      </ns0:c>
      <ns0:c r="C131" s="79" t="str">
        <ns0:v>Base de datos: Crear registro de entregas y relaciones</ns0:v>
      </ns0:c>
      <ns0:c r="D131" s="79" t="str">
        <ns0:v>RF24; DOC19</ns0:v>
      </ns0:c>
      <ns0:c r="E131" s="79" t="str">
        <ns0:v>P09.08, P09.09, P09.10</ns0:v>
      </ns0:c>
      <ns0:c r="F131" s="79" t="n">
        <ns0:v>1</ns0:v>
      </ns0:c>
      <ns0:c r="G131" s="79" t="str">
        <ns0:v>Pendiente</ns0:v>
      </ns0:c>
      <ns0:c r="H131" s="97" t="str">
        <ns0:v>Alvaro</ns0:v>
      </ns0:c>
      <ns0:c r="I131" s="98" t="n">
        <ns0:v>2</ns0:v>
      </ns0:c>
      <ns0:c r="J131" s="98" t="n">
        <ns0:v>2</ns0:v>
      </ns0:c>
      <ns0:c r="K131" s="98"/>
      <ns0:c r="L131" s="99"/>
      <ns0:c r="M131" s="99"/>
      <ns0:c r="N131" s="99"/>
      <ns0:c r="O131" s="99"/>
      <ns0:c r="P131" s="79" t="str">
        <ns0:f>IF(K131="","",K131-I131)</ns0:f>
      </ns0:c>
      <ns0:c r="Q131" s="79" t="str">
        <ns0:f>IF(OR(L131="",M131=""),"",M131-L131)</ns0:f>
      </ns0:c>
      <ns0:c r="R131" s="79" t="str">
        <ns0:f>IF(OR(N131="",O131=""),"",O131-N131)</ns0:f>
      </ns0:c>
      <ns0:c r="S131" s="79" t="str">
        <ns0:v>Rojo: caso que demuestre el fallo del criterio. Verde: implementar y ejecutar la prueba. Refactorizar sin perder el verde. Pruebas de integración contra PostgreSQL.</ns0:v>
      </ns0:c>
      <ns0:c r="T131" s="79" t="str">
        <ns0:v>Entrega ligada a reclamación, objeto y participantes.</ns0:v>
      </ns0:c>
      <ns0:c r="U131" s="79" t="str">
        <ns0:v>Catálogo RF24; Word 10, 12, 13 y 19. Referencia del plan anterior: P11.01.</ns0:v>
      </ns0:c>
      <ns0:c r="V131" s="79" t="str">
        <ns0:f>IF(OR(G131="Implementada",G131="Reportada"),IF(OR(K131="",M131="",O131=""),"Faltan datos reales","Completo"),IF(G131="Parcial",IF(OR(K131="",M131=""),"Faltan horas/inicio","En curso"),"Pendiente"))</ns0:f>
        <ns0:v>Pendiente</ns0:v>
      </ns0:c>
      <ns0:c r="W131" s="79" t="str">
        <ns0:v>Modelo de entregas reutilizable.</ns0:v>
      </ns0:c>
      <ns0:c r="X131" s="79"/>
      <ns0:c r="Y131" s="79" t="str">
        <ns0:v>Pendiente: sin implementación atribuible.</ns0:v>
      </ns0:c>
      <ns0:c r="Z131" s="79" t="str">
        <ns0:v>Evidencias Git, fila 74</ns0:v>
      </ns0:c>
    </ns0:row>
    <ns0:row r="132" ht="100" customHeight="1">
      <ns0:c r="A132" s="79" t="str">
        <ns0:v>P11.02</ns0:v>
      </ns0:c>
      <ns0:c r="B132" s="79" t="n">
        <ns0:v>2</ns0:v>
      </ns0:c>
      <ns0:c r="C132" s="79" t="str">
        <ns0:v>Lógica de negocio: Confirmar devolución sin duplicarla</ns0:v>
      </ns0:c>
      <ns0:c r="D132" s="79" t="str">
        <ns0:v>RF24; DOC19</ns0:v>
      </ns0:c>
      <ns0:c r="E132" s="79" t="str">
        <ns0:v>P09.08, P09.09, P09.10, P11.01</ns0:v>
      </ns0:c>
      <ns0:c r="F132" s="79" t="n">
        <ns0:v>2</ns0:v>
      </ns0:c>
      <ns0:c r="G132" s="79" t="str">
        <ns0:v>Pendiente</ns0:v>
      </ns0:c>
      <ns0:c r="H132" s="97" t="str">
        <ns0:v>Jorge</ns0:v>
      </ns0:c>
      <ns0:c r="I132" s="98" t="n">
        <ns0:v>2</ns0:v>
      </ns0:c>
      <ns0:c r="J132" s="98" t="n">
        <ns0:v>2</ns0:v>
      </ns0:c>
      <ns0:c r="K132" s="98"/>
      <ns0:c r="L132" s="99"/>
      <ns0:c r="M132" s="99"/>
      <ns0:c r="N132" s="99"/>
      <ns0:c r="O132" s="99"/>
      <ns0:c r="P132" s="79" t="str">
        <ns0:f t="shared" ref="P132:P137" si="44">IF(K132="","",K132-I132)</ns0:f>
      </ns0:c>
      <ns0:c r="Q132" s="79" t="str">
        <ns0:f t="shared" ref="Q132:Q137" si="45">IF(OR(L132="",M132=""),"",M132-L132)</ns0:f>
      </ns0:c>
      <ns0:c r="R132" s="79" t="str">
        <ns0:f t="shared" ref="R132:R137" si="46">IF(OR(N132="",O132=""),"",O132-N132)</ns0:f>
      </ns0:c>
      <ns0:c r="S132" s="79" t="str">
        <ns0:v>Rojo: caso que demuestre el fallo del criterio. Verde: implementar y ejecutar la prueba. Refactorizar sin perder el verde. Unitarias de reglas e integración donde corresponda.</ns0:v>
      </ns0:c>
      <ns0:c r="T132" s="79" t="str">
        <ns0:v>Registrar entrega válida de forma atómica.</ns0:v>
      </ns0:c>
      <ns0:c r="U132" s="79" t="str">
        <ns0:v>Catálogo RF24; Word 10, 12, 13 y 19. Referencia del plan anterior: P11.01.</ns0:v>
      </ns0:c>
      <ns0:c r="V132" s="79" t="str">
        <ns0:f t="shared" ref="V132:V137" si="47">IF(OR(G132="Implementada",G132="Reportada"),IF(OR(K132="",M132="",O132=""),"Faltan datos reales","Completo"),IF(G132="Parcial",IF(OR(K132="",M132=""),"Faltan horas/inicio","En curso"),"Pendiente"))</ns0:f>
        <ns0:v>Pendiente</ns0:v>
      </ns0:c>
      <ns0:c r="W132" s="79" t="str">
        <ns0:v>Componente autorizado de registro de entrega; no exponer flujo incompleto.</ns0:v>
      </ns0:c>
      <ns0:c r="X132" s="79"/>
      <ns0:c r="Y132" s="79" t="str">
        <ns0:v>Pendiente: sin implementación atribuible.</ns0:v>
      </ns0:c>
      <ns0:c r="Z132" s="79" t="str">
        <ns0:v>Evidencias Git, fila 75</ns0:v>
      </ns0:c>
    </ns0:row>
    <ns0:row r="133" ht="100" customHeight="1">
      <ns0:c r="A133" s="79" t="str">
        <ns0:v>P11.03</ns0:v>
      </ns0:c>
      <ns0:c r="B133" s="79" t="n">
        <ns0:v>2</ns0:v>
      </ns0:c>
      <ns0:c r="C133" s="79" t="str">
        <ns0:v>Interfaz de usuario: Mostrar confirmación de devolución</ns0:v>
      </ns0:c>
      <ns0:c r="D133" s="79" t="str">
        <ns0:v>RF24; DOC19</ns0:v>
      </ns0:c>
      <ns0:c r="E133" s="79" t="str">
        <ns0:v>P09.08, P09.09, P09.10, P11.01, P11.02</ns0:v>
      </ns0:c>
      <ns0:c r="F133" s="79" t="n">
        <ns0:v>3</ns0:v>
      </ns0:c>
      <ns0:c r="G133" s="79" t="str">
        <ns0:v>Pendiente</ns0:v>
      </ns0:c>
      <ns0:c r="H133" s="97" t="str">
        <ns0:v>Jesús</ns0:v>
      </ns0:c>
      <ns0:c r="I133" s="98" t="n">
        <ns0:v>1</ns0:v>
      </ns0:c>
      <ns0:c r="J133" s="98" t="n">
        <ns0:v>1</ns0:v>
      </ns0:c>
      <ns0:c r="K133" s="98"/>
      <ns0:c r="L133" s="99"/>
      <ns0:c r="M133" s="99"/>
      <ns0:c r="N133" s="99"/>
      <ns0:c r="O133" s="99"/>
      <ns0:c r="P133" s="79" t="str">
        <ns0:f t="shared" si="44">IF(K133="","",K133-I133)</ns0:f>
      </ns0:c>
      <ns0:c r="Q133" s="79" t="str">
        <ns0:f t="shared" si="45">IF(OR(L133="",M133=""),"",M133-L133)</ns0:f>
      </ns0:c>
      <ns0:c r="R133" s="79" t="str">
        <ns0:f t="shared" si="46">IF(OR(N133="",O133=""),"",O133-N133)</ns0:f>
      </ns0:c>
      <ns0:c r="S133" s="79" t="str">
        <ns0:v>Rojo: caso que demuestre el fallo del criterio. Verde: implementar y ejecutar la prueba. Refactorizar sin perder el verde. Pruebas de interacción y validación de interfaz.</ns0:v>
      </ns0:c>
      <ns0:c r="T133" s="79" t="str">
        <ns0:v>Acción y resultado de entrega.</ns0:v>
      </ns0:c>
      <ns0:c r="U133" s="79" t="str">
        <ns0:v>Catálogo RF24; Word 10, 12, 13 y 19. Referencia del plan anterior: P11.01.</ns0:v>
      </ns0:c>
      <ns0:c r="V133" s="79" t="str">
        <ns0:f t="shared" si="47">IF(OR(G133="Implementada",G133="Reportada"),IF(OR(K133="",M133="",O133=""),"Faltan datos reales","Completo"),IF(G133="Parcial",IF(OR(K133="",M133=""),"Faltan horas/inicio","En curso"),"Pendiente"))</ns0:f>
        <ns0:v>Pendiente</ns0:v>
      </ns0:c>
      <ns0:c r="W133" s="79" t="str">
        <ns0:v>Interfaz de entrega preparada; habilitar acción al cerrar estados en iteración 4.</ns0:v>
      </ns0:c>
      <ns0:c r="X133" s="79"/>
      <ns0:c r="Y133" s="79" t="str">
        <ns0:v>Pendiente: sin implementación atribuible.</ns0:v>
      </ns0:c>
      <ns0:c r="Z133" s="79" t="str">
        <ns0:v>Evidencias Git, fila 76</ns0:v>
      </ns0:c>
    </ns0:row>
    <ns0:row r="134" ht="100" customHeight="1">
      <ns0:c r="A134" s="79" t="str">
        <ns0:v>P11.04</ns0:v>
      </ns0:c>
      <ns0:c r="B134" s="79" t="n">
        <ns0:v>2</ns0:v>
      </ns0:c>
      <ns0:c r="C134" s="79" t="str">
        <ns0:v>Seguridad: Autorizar confirmación de entrega</ns0:v>
      </ns0:c>
      <ns0:c r="D134" s="79" t="str">
        <ns0:v>RF24; DOC19</ns0:v>
      </ns0:c>
      <ns0:c r="E134" s="79" t="str">
        <ns0:v>P09.08, P09.09, P09.10, P11.01, P11.02</ns0:v>
      </ns0:c>
      <ns0:c r="F134" s="79" t="n">
        <ns0:v>2</ns0:v>
      </ns0:c>
      <ns0:c r="G134" s="79" t="str">
        <ns0:v>Pendiente</ns0:v>
      </ns0:c>
      <ns0:c r="H134" s="97" t="str">
        <ns0:v>Jorge</ns0:v>
      </ns0:c>
      <ns0:c r="I134" s="98" t="n">
        <ns0:v>1</ns0:v>
      </ns0:c>
      <ns0:c r="J134" s="98" t="n">
        <ns0:v>1</ns0:v>
      </ns0:c>
      <ns0:c r="K134" s="98"/>
      <ns0:c r="L134" s="99"/>
      <ns0:c r="M134" s="99"/>
      <ns0:c r="N134" s="99"/>
      <ns0:c r="O134" s="99"/>
      <ns0:c r="P134" s="79" t="str">
        <ns0:f t="shared" si="44">IF(K134="","",K134-I134)</ns0:f>
      </ns0:c>
      <ns0:c r="Q134" s="79" t="str">
        <ns0:f t="shared" si="45">IF(OR(L134="",M134=""),"",M134-L134)</ns0:f>
      </ns0:c>
      <ns0:c r="R134" s="79" t="str">
        <ns0:f t="shared" si="46">IF(OR(N134="",O134=""),"",O134-N134)</ns0:f>
      </ns0:c>
      <ns0:c r="S134" s="79" t="str">
        <ns0:v>Rojo: caso que demuestre el fallo del criterio. Verde: implementar y ejecutar la prueba. Refactorizar sin perder el verde. Casos autorizados y ataques/accesos rechazados.</ns0:v>
      </ns0:c>
      <ns0:c r="T134" s="79" t="str">
        <ns0:v>Solo participantes con permiso según reglas acordadas.</ns0:v>
      </ns0:c>
      <ns0:c r="U134" s="79" t="str">
        <ns0:v>Catálogo RF24; Word 10, 12, 13 y 19. Referencia del plan anterior: P11.01.</ns0:v>
      </ns0:c>
      <ns0:c r="V134" s="79" t="str">
        <ns0:f t="shared" si="47">IF(OR(G134="Implementada",G134="Reportada"),IF(OR(K134="",M134="",O134=""),"Faltan datos reales","Completo"),IF(G134="Parcial",IF(OR(K134="",M134=""),"Faltan horas/inicio","En curso"),"Pendiente"))</ns0:f>
        <ns0:v>Pendiente</ns0:v>
      </ns0:c>
      <ns0:c r="W134" s="79" t="str">
        <ns0:v>Componente autorizado de registro de entrega; no exponer flujo incompleto.</ns0:v>
      </ns0:c>
      <ns0:c r="X134" s="79"/>
      <ns0:c r="Y134" s="79" t="str">
        <ns0:v>Pendiente: sin implementación atribuible.</ns0:v>
      </ns0:c>
      <ns0:c r="Z134" s="79" t="str">
        <ns0:v>Evidencias Git, fila 75</ns0:v>
      </ns0:c>
    </ns0:row>
    <ns0:row r="135" ht="100" customHeight="1">
      <ns0:c r="A135" s="79" t="str">
        <ns0:v>P11.05</ns0:v>
      </ns0:c>
      <ns0:c r="B135" s="79" t="n">
        <ns0:v>2</ns0:v>
      </ns0:c>
      <ns0:c r="C135" s="79" t="str">
        <ns0:v>Lógica de negocio: Cerrar estados de objeto y reclamación</ns0:v>
      </ns0:c>
      <ns0:c r="D135" s="79" t="str">
        <ns0:v>RF17; RF25</ns0:v>
      </ns0:c>
      <ns0:c r="E135" s="79" t="str">
        <ns0:v>P11.01, P11.02, P11.03, P11.04, P08.04, P08.05</ns0:v>
      </ns0:c>
      <ns0:c r="F135" s="79" t="n">
        <ns0:v>4</ns0:v>
      </ns0:c>
      <ns0:c r="G135" s="79" t="str">
        <ns0:v>Pendiente</ns0:v>
      </ns0:c>
      <ns0:c r="H135" s="97" t="str">
        <ns0:v>Iñigo</ns0:v>
      </ns0:c>
      <ns0:c r="I135" s="98" t="n">
        <ns0:v>3</ns0:v>
      </ns0:c>
      <ns0:c r="J135" s="98" t="n">
        <ns0:v>3</ns0:v>
      </ns0:c>
      <ns0:c r="K135" s="98"/>
      <ns0:c r="L135" s="99"/>
      <ns0:c r="M135" s="99"/>
      <ns0:c r="N135" s="99"/>
      <ns0:c r="O135" s="99"/>
      <ns0:c r="P135" s="79" t="str">
        <ns0:f t="shared" si="44">IF(K135="","",K135-I135)</ns0:f>
      </ns0:c>
      <ns0:c r="Q135" s="79" t="str">
        <ns0:f t="shared" si="45">IF(OR(L135="",M135=""),"",M135-L135)</ns0:f>
      </ns0:c>
      <ns0:c r="R135" s="79" t="str">
        <ns0:f t="shared" si="46">IF(OR(N135="",O135=""),"",O135-N135)</ns0:f>
      </ns0:c>
      <ns0:c r="S135" s="79" t="str">
        <ns0:v>Rojo: caso que demuestre el fallo del criterio. Verde: implementar y ejecutar la prueba. Refactorizar sin perder el verde. Unitarias de reglas e integración donde corresponda.</ns0:v>
      </ns0:c>
      <ns0:c r="T135" s="79" t="str">
        <ns0:v>Objeto recuperado no disponible y relaciones coherentes.</ns0:v>
      </ns0:c>
      <ns0:c r="U135" s="79" t="str">
        <ns0:v>Word 12. Referencia del plan anterior: P11.02.</ns0:v>
      </ns0:c>
      <ns0:c r="V135" s="79" t="str">
        <ns0:f t="shared" si="47">IF(OR(G135="Implementada",G135="Reportada"),IF(OR(K135="",M135="",O135=""),"Faltan datos reales","Completo"),IF(G135="Parcial",IF(OR(K135="",M135=""),"Faltan horas/inicio","En curso"),"Pendiente"))</ns0:f>
        <ns0:v>Pendiente</ns0:v>
      </ns0:c>
      <ns0:c r="W135" s="79" t="str">
        <ns0:v>Devolución completa con cierre coherente del objeto.</ns0:v>
      </ns0:c>
      <ns0:c r="X135" s="79"/>
      <ns0:c r="Y135" s="79" t="str">
        <ns0:v>Pendiente: sin implementación atribuible.</ns0:v>
      </ns0:c>
      <ns0:c r="Z135" s="79" t="str">
        <ns0:v>Evidencias Git, fila 77</ns0:v>
      </ns0:c>
    </ns0:row>
    <ns0:row r="136" ht="100" customHeight="1">
      <ns0:c r="A136" s="79" t="str">
        <ns0:v>P11.06</ns0:v>
      </ns0:c>
      <ns0:c r="B136" s="79" t="n">
        <ns0:v>2</ns0:v>
      </ns0:c>
      <ns0:c r="C136" s="79" t="str">
        <ns0:v>Integración: Verificar devolución y cierre del ciclo del objeto</ns0:v>
      </ns0:c>
      <ns0:c r="D136" s="79" t="str">
        <ns0:v>RF17; RF25</ns0:v>
      </ns0:c>
      <ns0:c r="E136" s="79" t="str">
        <ns0:v>P11.01, P11.02, P11.03, P11.04, P08.04, P08.05, P11.05</ns0:v>
      </ns0:c>
      <ns0:c r="F136" s="79" t="n">
        <ns0:v>4</ns0:v>
      </ns0:c>
      <ns0:c r="G136" s="79" t="str">
        <ns0:v>Pendiente</ns0:v>
      </ns0:c>
      <ns0:c r="H136" s="97" t="str">
        <ns0:v>Iñigo</ns0:v>
      </ns0:c>
      <ns0:c r="I136" s="98" t="n">
        <ns0:v>2</ns0:v>
      </ns0:c>
      <ns0:c r="J136" s="98" t="n">
        <ns0:v>2</ns0:v>
      </ns0:c>
      <ns0:c r="K136" s="98"/>
      <ns0:c r="L136" s="99"/>
      <ns0:c r="M136" s="99"/>
      <ns0:c r="N136" s="99"/>
      <ns0:c r="O136" s="99"/>
      <ns0:c r="P136" s="79" t="str">
        <ns0:f t="shared" si="44">IF(K136="","",K136-I136)</ns0:f>
      </ns0:c>
      <ns0:c r="Q136" s="79" t="str">
        <ns0:f t="shared" si="45">IF(OR(L136="",M136=""),"",M136-L136)</ns0:f>
      </ns0:c>
      <ns0:c r="R136" s="79" t="str">
        <ns0:f t="shared" si="46">IF(OR(N136="",O136=""),"",O136-N136)</ns0:f>
      </ns0:c>
      <ns0:c r="S136" s="79" t="str">
        <ns0:v>Rojo: caso que demuestre el fallo del criterio. Verde: implementar y ejecutar la prueba. Refactorizar sin perder el verde. Comprobar componentes conectados y flujo E2E pertinente.</ns0:v>
      </ns0:c>
      <ns0:c r="T136" s="79" t="str">
        <ns0:v>Desaparece de disponibles; no admite nuevas reclamaciones ni sugerencias activas.</ns0:v>
      </ns0:c>
      <ns0:c r="U136" s="79" t="str">
        <ns0:v>Word 12. Referencia del plan anterior: P11.02.</ns0:v>
      </ns0:c>
      <ns0:c r="V136" s="79" t="str">
        <ns0:f t="shared" si="47">IF(OR(G136="Implementada",G136="Reportada"),IF(OR(K136="",M136="",O136=""),"Faltan datos reales","Completo"),IF(G136="Parcial",IF(OR(K136="",M136=""),"Faltan horas/inicio","En curso"),"Pendiente"))</ns0:f>
        <ns0:v>Pendiente</ns0:v>
      </ns0:c>
      <ns0:c r="W136" s="79" t="str">
        <ns0:v>Devolución completa con cierre coherente del objeto.</ns0:v>
      </ns0:c>
      <ns0:c r="X136" s="79"/>
      <ns0:c r="Y136" s="79" t="str">
        <ns0:v>Pendiente: sin implementación atribuible.</ns0:v>
      </ns0:c>
      <ns0:c r="Z136" s="79" t="str">
        <ns0:v>Evidencias Git, fila 77</ns0:v>
      </ns0:c>
    </ns0:row>
    <ns0:row r="137" ht="30" customHeight="1">
      <ns0:c r="A137" s="94" t="str">
        <ns0:v>P12</ns0:v>
      </ns0:c>
      <ns0:c r="B137" s="94" t="n">
        <ns0:v>1</ns0:v>
      </ns0:c>
      <ns0:c r="C137" s="94" t="str">
        <ns0:v>Notificaciones</ns0:v>
      </ns0:c>
      <ns0:c r="D137" s="94"/>
      <ns0:c r="E137" s="94"/>
      <ns0:c r="F137" s="94"/>
      <ns0:c r="G137" s="94"/>
      <ns0:c r="H137" s="94"/>
      <ns0:c r="I137" s="95" t="n">
        <ns0:f>SUM(I138:I143)</ns0:f>
        <ns0:v>12</ns0:v>
      </ns0:c>
      <ns0:c r="J137" s="95" t="n">
        <ns0:f>SUM(J138:J143)</ns0:f>
        <ns0:v>12</ns0:v>
      </ns0:c>
      <ns0:c r="K137" s="95" t="str">
        <ns0:f>IF(COUNT(K138:K143)=0,"",SUM(K138:K143))</ns0:f>
      </ns0:c>
      <ns0:c r="L137" s="96" t="str">
        <ns0:f>IF(COUNT(L138:L143)=6,MIN(L138:L143),"")</ns0:f>
      </ns0:c>
      <ns0:c r="M137" s="96" t="str">
        <ns0:f>IF(COUNT(M138:M143)=6,MIN(M138:M143),"")</ns0:f>
      </ns0:c>
      <ns0:c r="N137" s="96" t="str">
        <ns0:f>IF(COUNT(N138:N143)=6,MAX(N138:N143),"")</ns0:f>
      </ns0:c>
      <ns0:c r="O137" s="96" t="str">
        <ns0:f>IF(COUNT(O138:O143)=6,MAX(O138:O143),"")</ns0:f>
      </ns0:c>
      <ns0:c r="S137" s="94"/>
      <ns0:c r="T137" s="94"/>
      <ns0:c r="U137" s="94"/>
      <ns0:c r="W137" s="94"/>
      <ns0:c r="X137" s="94"/>
      <ns0:c r="Y137" s="94"/>
      <ns0:c r="Z137" s="94"/>
    </ns0:row>
    <ns0:row r="138" ht="100" customHeight="1">
      <ns0:c r="A138" s="79" t="str">
        <ns0:v>P12.01</ns0:v>
      </ns0:c>
      <ns0:c r="B138" s="79" t="n">
        <ns0:v>2</ns0:v>
      </ns0:c>
      <ns0:c r="C138" s="79" t="str">
        <ns0:v>Base de datos: Crear notificaciones por destinatario</ns0:v>
      </ns0:c>
      <ns0:c r="D138" s="79" t="str">
        <ns0:v>RF16; DOC19; DOC20</ns0:v>
      </ns0:c>
      <ns0:c r="E138" s="79" t="str">
        <ns0:v>P04.05, P04.06, P04.07, P04.08</ns0:v>
      </ns0:c>
      <ns0:c r="F138" s="79" t="n">
        <ns0:v>1</ns0:v>
      </ns0:c>
      <ns0:c r="G138" s="79" t="str">
        <ns0:v>Pendiente</ns0:v>
      </ns0:c>
      <ns0:c r="H138" s="97" t="str">
        <ns0:v>Gonzalo</ns0:v>
      </ns0:c>
      <ns0:c r="I138" s="98" t="n">
        <ns0:v>2</ns0:v>
      </ns0:c>
      <ns0:c r="J138" s="98" t="n">
        <ns0:v>2</ns0:v>
      </ns0:c>
      <ns0:c r="K138" s="98"/>
      <ns0:c r="L138" s="99"/>
      <ns0:c r="M138" s="99"/>
      <ns0:c r="N138" s="99"/>
      <ns0:c r="O138" s="99"/>
      <ns0:c r="P138" s="79" t="str">
        <ns0:f>IF(K138="","",K138-I138)</ns0:f>
      </ns0:c>
      <ns0:c r="Q138" s="79" t="str">
        <ns0:f>IF(OR(L138="",M138=""),"",M138-L138)</ns0:f>
      </ns0:c>
      <ns0:c r="R138" s="79" t="str">
        <ns0:f>IF(OR(N138="",O138=""),"",O138-N138)</ns0:f>
      </ns0:c>
      <ns0:c r="S138" s="79" t="str">
        <ns0:v>Rojo: caso que demuestre el fallo del criterio. Verde: implementar y ejecutar la prueba. Refactorizar sin perder el verde. Pruebas de integración contra PostgreSQL.</ns0:v>
      </ns0:c>
      <ns0:c r="T138" s="79" t="str">
        <ns0:v>Persistencia de contenido, destinatario y estado leído.</ns0:v>
      </ns0:c>
      <ns0:c r="U138" s="79" t="str">
        <ns0:v>Word 13. Referencia del plan anterior: P12.01.</ns0:v>
      </ns0:c>
      <ns0:c r="V138" s="79" t="str">
        <ns0:f>IF(OR(G138="Implementada",G138="Reportada"),IF(OR(K138="",M138="",O138=""),"Faltan datos reales","Completo"),IF(G138="Parcial",IF(OR(K138="",M138=""),"Faltan horas/inicio","En curso"),"Pendiente"))</ns0:f>
        <ns0:v>Pendiente</ns0:v>
      </ns0:c>
      <ns0:c r="W138" s="79" t="str">
        <ns0:v>Modelo de notificaciones disponible.</ns0:v>
      </ns0:c>
      <ns0:c r="X138" s="79"/>
      <ns0:c r="Y138" s="79" t="str">
        <ns0:v>Pendiente: sin implementación atribuible.</ns0:v>
      </ns0:c>
      <ns0:c r="Z138" s="79" t="str">
        <ns0:v>Evidencias Git, fila 78</ns0:v>
      </ns0:c>
    </ns0:row>
    <ns0:row r="139" ht="100" customHeight="1">
      <ns0:c r="A139" s="79" t="str">
        <ns0:v>P12.02</ns0:v>
      </ns0:c>
      <ns0:c r="B139" s="79" t="n">
        <ns0:v>2</ns0:v>
      </ns0:c>
      <ns0:c r="C139" s="79" t="str">
        <ns0:v>Lógica de negocio: Consultar avisos y marcarlos como leídos</ns0:v>
      </ns0:c>
      <ns0:c r="D139" s="79" t="str">
        <ns0:v>RF16; DOC19; DOC20</ns0:v>
      </ns0:c>
      <ns0:c r="E139" s="79" t="str">
        <ns0:v>P04.05, P04.06, P04.07, P04.08, P12.01</ns0:v>
      </ns0:c>
      <ns0:c r="F139" s="79" t="n">
        <ns0:v>2</ns0:v>
      </ns0:c>
      <ns0:c r="G139" s="79" t="str">
        <ns0:v>Pendiente</ns0:v>
      </ns0:c>
      <ns0:c r="H139" s="97" t="str">
        <ns0:v>Alvaro</ns0:v>
      </ns0:c>
      <ns0:c r="I139" s="98" t="n">
        <ns0:v>1</ns0:v>
      </ns0:c>
      <ns0:c r="J139" s="98" t="n">
        <ns0:v>1</ns0:v>
      </ns0:c>
      <ns0:c r="K139" s="98"/>
      <ns0:c r="L139" s="99"/>
      <ns0:c r="M139" s="99"/>
      <ns0:c r="N139" s="99"/>
      <ns0:c r="O139" s="99"/>
      <ns0:c r="P139" s="79" t="str">
        <ns0:f>IF(K139="","",K139-I139)</ns0:f>
      </ns0:c>
      <ns0:c r="Q139" s="79" t="str">
        <ns0:f>IF(OR(L139="",M139=""),"",M139-L139)</ns0:f>
      </ns0:c>
      <ns0:c r="R139" s="79" t="str">
        <ns0:f>IF(OR(N139="",O139=""),"",O139-N139)</ns0:f>
      </ns0:c>
      <ns0:c r="S139" s="79" t="str">
        <ns0:v>Rojo: caso que demuestre el fallo del criterio. Verde: implementar y ejecutar la prueba. Refactorizar sin perder el verde. Unitarias de reglas e integración donde corresponda.</ns0:v>
      </ns0:c>
      <ns0:c r="T139" s="79" t="str">
        <ns0:v>Lectura persistente por usuario.</ns0:v>
      </ns0:c>
      <ns0:c r="U139" s="79" t="str">
        <ns0:v>Word 13. Referencia del plan anterior: P12.01.</ns0:v>
      </ns0:c>
      <ns0:c r="V139" s="79" t="str">
        <ns0:f>IF(OR(G139="Implementada",G139="Reportada"),IF(OR(K139="",M139="",O139=""),"Faltan datos reales","Completo"),IF(G139="Parcial",IF(OR(K139="",M139=""),"Faltan horas/inicio","En curso"),"Pendiente"))</ns0:f>
        <ns0:v>Pendiente</ns0:v>
      </ns0:c>
      <ns0:c r="W139" s="79" t="str">
        <ns0:v>Servicio de consulta y lectura restringido al destinatario.</ns0:v>
      </ns0:c>
      <ns0:c r="X139" s="79"/>
      <ns0:c r="Y139" s="79" t="str">
        <ns0:v>Pendiente: sin implementación atribuible.</ns0:v>
      </ns0:c>
      <ns0:c r="Z139" s="79" t="str">
        <ns0:v>Evidencias Git, fila 79</ns0:v>
      </ns0:c>
    </ns0:row>
    <ns0:row r="140" ht="100" customHeight="1">
      <ns0:c r="A140" s="79" t="str">
        <ns0:v>P12.03</ns0:v>
      </ns0:c>
      <ns0:c r="B140" s="79" t="n">
        <ns0:v>2</ns0:v>
      </ns0:c>
      <ns0:c r="C140" s="79" t="str">
        <ns0:v>Interfaz de usuario: Mostrar avisos y contador de pendientes</ns0:v>
      </ns0:c>
      <ns0:c r="D140" s="79" t="str">
        <ns0:v>RF16; DOC19; DOC20</ns0:v>
      </ns0:c>
      <ns0:c r="E140" s="79" t="str">
        <ns0:v>P04.05, P04.06, P04.07, P04.08, P12.01, P12.02</ns0:v>
      </ns0:c>
      <ns0:c r="F140" s="79" t="n">
        <ns0:v>3</ns0:v>
      </ns0:c>
      <ns0:c r="G140" s="79" t="str">
        <ns0:v>Pendiente</ns0:v>
      </ns0:c>
      <ns0:c r="H140" s="97" t="str">
        <ns0:v>Alejandro</ns0:v>
      </ns0:c>
      <ns0:c r="I140" s="98" t="n">
        <ns0:v>2</ns0:v>
      </ns0:c>
      <ns0:c r="J140" s="98" t="n">
        <ns0:v>2</ns0:v>
      </ns0:c>
      <ns0:c r="K140" s="98"/>
      <ns0:c r="L140" s="99"/>
      <ns0:c r="M140" s="99"/>
      <ns0:c r="N140" s="99"/>
      <ns0:c r="O140" s="99"/>
      <ns0:c r="P140" s="79" t="str">
        <ns0:f>IF(K140="","",K140-I140)</ns0:f>
      </ns0:c>
      <ns0:c r="Q140" s="79" t="str">
        <ns0:f>IF(OR(L140="",M140=""),"",M140-L140)</ns0:f>
      </ns0:c>
      <ns0:c r="R140" s="79" t="str">
        <ns0:f>IF(OR(N140="",O140=""),"",O140-N140)</ns0:f>
      </ns0:c>
      <ns0:c r="S140" s="79" t="str">
        <ns0:v>Rojo: caso que demuestre el fallo del criterio. Verde: implementar y ejecutar la prueba. Refactorizar sin perder el verde. Pruebas de interacción y validación de interfaz.</ns0:v>
      </ns0:c>
      <ns0:c r="T140" s="79" t="str">
        <ns0:v>Listado, apertura y cambio de leído.</ns0:v>
      </ns0:c>
      <ns0:c r="U140" s="79" t="str">
        <ns0:v>Word 13. Referencia del plan anterior: P12.01.</ns0:v>
      </ns0:c>
      <ns0:c r="V140" s="79" t="str">
        <ns0:f>IF(OR(G140="Implementada",G140="Reportada"),IF(OR(K140="",M140="",O140=""),"Faltan datos reales","Completo"),IF(G140="Parcial",IF(OR(K140="",M140=""),"Faltan horas/inicio","En curso"),"Pendiente"))</ns0:f>
        <ns0:v>Pendiente</ns0:v>
      </ns0:c>
      <ns0:c r="W140" s="79" t="str">
        <ns0:v>Pantalla de notificaciones conectada.</ns0:v>
      </ns0:c>
      <ns0:c r="X140" s="79"/>
      <ns0:c r="Y140" s="79" t="str">
        <ns0:v>Pendiente: sin implementación atribuible.</ns0:v>
      </ns0:c>
      <ns0:c r="Z140" s="79" t="str">
        <ns0:v>Evidencias Git, fila 80</ns0:v>
      </ns0:c>
    </ns0:row>
    <ns0:row r="141" ht="100" customHeight="1">
      <ns0:c r="A141" s="79" t="str">
        <ns0:v>P12.04</ns0:v>
      </ns0:c>
      <ns0:c r="B141" s="79" t="n">
        <ns0:v>2</ns0:v>
      </ns0:c>
      <ns0:c r="C141" s="79" t="str">
        <ns0:v>Seguridad: Restringir notificaciones a su destinatario</ns0:v>
      </ns0:c>
      <ns0:c r="D141" s="79" t="str">
        <ns0:v>RF16; DOC19; DOC20</ns0:v>
      </ns0:c>
      <ns0:c r="E141" s="79" t="str">
        <ns0:v>P04.05, P04.06, P04.07, P04.08, P12.01, P12.02</ns0:v>
      </ns0:c>
      <ns0:c r="F141" s="79" t="n">
        <ns0:v>2</ns0:v>
      </ns0:c>
      <ns0:c r="G141" s="79" t="str">
        <ns0:v>Pendiente</ns0:v>
      </ns0:c>
      <ns0:c r="H141" s="97" t="str">
        <ns0:v>Iñigo</ns0:v>
      </ns0:c>
      <ns0:c r="I141" s="98" t="n">
        <ns0:v>1</ns0:v>
      </ns0:c>
      <ns0:c r="J141" s="98" t="n">
        <ns0:v>1</ns0:v>
      </ns0:c>
      <ns0:c r="K141" s="98"/>
      <ns0:c r="L141" s="99"/>
      <ns0:c r="M141" s="99"/>
      <ns0:c r="N141" s="99"/>
      <ns0:c r="O141" s="99"/>
      <ns0:c r="P141" s="79" t="str">
        <ns0:f>IF(K141="","",K141-I141)</ns0:f>
      </ns0:c>
      <ns0:c r="Q141" s="79" t="str">
        <ns0:f>IF(OR(L141="",M141=""),"",M141-L141)</ns0:f>
      </ns0:c>
      <ns0:c r="R141" s="79" t="str">
        <ns0:f>IF(OR(N141="",O141=""),"",O141-N141)</ns0:f>
      </ns0:c>
      <ns0:c r="S141" s="79" t="str">
        <ns0:v>Rojo: caso que demuestre el fallo del criterio. Verde: implementar y ejecutar la prueba. Refactorizar sin perder el verde. Casos autorizados y ataques/accesos rechazados.</ns0:v>
      </ns0:c>
      <ns0:c r="T141" s="79" t="str">
        <ns0:v>No consultar ni modificar avisos ajenos.</ns0:v>
      </ns0:c>
      <ns0:c r="U141" s="79" t="str">
        <ns0:v>Word 13. Referencia del plan anterior: P12.01.</ns0:v>
      </ns0:c>
      <ns0:c r="V141" s="79" t="str">
        <ns0:f>IF(OR(G141="Implementada",G141="Reportada"),IF(OR(K141="",M141="",O141=""),"Faltan datos reales","Completo"),IF(G141="Parcial",IF(OR(K141="",M141=""),"Faltan horas/inicio","En curso"),"Pendiente"))</ns0:f>
        <ns0:v>Pendiente</ns0:v>
      </ns0:c>
      <ns0:c r="W141" s="79" t="str">
        <ns0:v>Servicio de consulta y lectura restringido al destinatario.</ns0:v>
      </ns0:c>
      <ns0:c r="X141" s="79"/>
      <ns0:c r="Y141" s="79" t="str">
        <ns0:v>Pendiente: sin implementación atribuible.</ns0:v>
      </ns0:c>
      <ns0:c r="Z141" s="79" t="str">
        <ns0:v>Evidencias Git, fila 79</ns0:v>
      </ns0:c>
    </ns0:row>
    <ns0:row r="142" ht="100" customHeight="1">
      <ns0:c r="A142" s="79" t="str">
        <ns0:v>P12.05</ns0:v>
      </ns0:c>
      <ns0:c r="B142" s="79" t="n">
        <ns0:v>2</ns0:v>
      </ns0:c>
      <ns0:c r="C142" s="79" t="str">
        <ns0:v>Lógica de negocio: Generar avisos de coincidencias, reclamaciones, mensajes y entrega</ns0:v>
      </ns0:c>
      <ns0:c r="D142" s="79" t="str">
        <ns0:v>RF16; RF12; RF24</ns0:v>
      </ns0:c>
      <ns0:c r="E142" s="79" t="str">
        <ns0:v>P12.01, P12.02, P12.03, P12.04, P08.06, P08.07, P08.08, P08.09, P09.08, P09.09, P09.10, P10.04, P10.05, P10.06, P10.07, P11.05, P11.06</ns0:v>
      </ns0:c>
      <ns0:c r="F142" s="79" t="n">
        <ns0:v>4</ns0:v>
      </ns0:c>
      <ns0:c r="G142" s="79" t="str">
        <ns0:v>Pendiente</ns0:v>
      </ns0:c>
      <ns0:c r="H142" s="97" t="str">
        <ns0:v>Gonzalo</ns0:v>
      </ns0:c>
      <ns0:c r="I142" s="98" t="n">
        <ns0:v>4</ns0:v>
      </ns0:c>
      <ns0:c r="J142" s="98" t="n">
        <ns0:v>4</ns0:v>
      </ns0:c>
      <ns0:c r="K142" s="98"/>
      <ns0:c r="L142" s="99"/>
      <ns0:c r="M142" s="99"/>
      <ns0:c r="N142" s="99"/>
      <ns0:c r="O142" s="99"/>
      <ns0:c r="P142" s="79" t="str">
        <ns0:f>IF(K142="","",K142-I142)</ns0:f>
      </ns0:c>
      <ns0:c r="Q142" s="79" t="str">
        <ns0:f>IF(OR(L142="",M142=""),"",M142-L142)</ns0:f>
      </ns0:c>
      <ns0:c r="R142" s="79" t="str">
        <ns0:f>IF(OR(N142="",O142=""),"",O142-N142)</ns0:f>
      </ns0:c>
      <ns0:c r="S142" s="79" t="str">
        <ns0:v>Rojo: caso que demuestre el fallo del criterio. Verde: implementar y ejecutar la prueba. Refactorizar sin perder el verde. Unitarias de reglas e integración donde corresponda.</ns0:v>
      </ns0:c>
      <ns0:c r="T142" s="79" t="str">
        <ns0:v>Eventos correctos, destinatarios correctos y sin duplicados.</ns0:v>
      </ns0:c>
      <ns0:c r="U142" s="79" t="str">
        <ns0:v>Word 9 y 13. Referencia del plan anterior: P12.02.</ns0:v>
      </ns0:c>
      <ns0:c r="V142" s="79" t="str">
        <ns0:f>IF(OR(G142="Implementada",G142="Reportada"),IF(OR(K142="",M142="",O142=""),"Faltan datos reales","Completo"),IF(G142="Parcial",IF(OR(K142="",M142=""),"Faltan horas/inicio","En curso"),"Pendiente"))</ns0:f>
        <ns0:v>Pendiente</ns0:v>
      </ns0:c>
      <ns0:c r="W142" s="79" t="str">
        <ns0:v>Avisos de eventos conectados y comprobados.</ns0:v>
      </ns0:c>
      <ns0:c r="X142" s="79"/>
      <ns0:c r="Y142" s="79" t="str">
        <ns0:v>Pendiente: sin implementación atribuible.</ns0:v>
      </ns0:c>
      <ns0:c r="Z142" s="79" t="str">
        <ns0:v>Evidencias Git, fila 81</ns0:v>
      </ns0:c>
    </ns0:row>
    <ns0:row r="143" ht="100" customHeight="1">
      <ns0:c r="A143" s="79" t="str">
        <ns0:v>P12.06</ns0:v>
      </ns0:c>
      <ns0:c r="B143" s="79" t="n">
        <ns0:v>2</ns0:v>
      </ns0:c>
      <ns0:c r="C143" s="79" t="str">
        <ns0:v>Integración: Verificar generación y lectura de avisos</ns0:v>
      </ns0:c>
      <ns0:c r="D143" s="79" t="str">
        <ns0:v>RF16; RF12; RF24</ns0:v>
      </ns0:c>
      <ns0:c r="E143" s="79" t="str">
        <ns0:v>P12.01, P12.02, P12.03, P12.04, P08.06, P08.07, P08.08, P08.09, P09.08, P09.09, P09.10, P10.04, P10.05, P10.06, P10.07, P11.05, P11.06, P12.05</ns0:v>
      </ns0:c>
      <ns0:c r="F143" s="79" t="n">
        <ns0:v>4</ns0:v>
      </ns0:c>
      <ns0:c r="G143" s="79" t="str">
        <ns0:v>Pendiente</ns0:v>
      </ns0:c>
      <ns0:c r="H143" s="97" t="str">
        <ns0:v>Jesús</ns0:v>
      </ns0:c>
      <ns0:c r="I143" s="98" t="n">
        <ns0:v>2</ns0:v>
      </ns0:c>
      <ns0:c r="J143" s="98" t="n">
        <ns0:v>2</ns0:v>
      </ns0:c>
      <ns0:c r="K143" s="98"/>
      <ns0:c r="L143" s="99"/>
      <ns0:c r="M143" s="99"/>
      <ns0:c r="N143" s="99"/>
      <ns0:c r="O143" s="99"/>
      <ns0:c r="P143" s="79" t="str">
        <ns0:f>IF(K143="","",K143-I143)</ns0:f>
      </ns0:c>
      <ns0:c r="Q143" s="79" t="str">
        <ns0:f>IF(OR(L143="",M143=""),"",M143-L143)</ns0:f>
      </ns0:c>
      <ns0:c r="R143" s="79" t="str">
        <ns0:f>IF(OR(N143="",O143=""),"",O143-N143)</ns0:f>
      </ns0:c>
      <ns0:c r="S143" s="79" t="str">
        <ns0:v>Rojo: caso que demuestre el fallo del criterio. Verde: implementar y ejecutar la prueba. Refactorizar sin perder el verde. Comprobar componentes conectados y flujo E2E pertinente.</ns0:v>
      </ns0:c>
      <ns0:c r="T143" s="79" t="str">
        <ns0:v>Eventos de todos los módulos producen avisos esperados.</ns0:v>
      </ns0:c>
      <ns0:c r="U143" s="79" t="str">
        <ns0:v>Word 9 y 13. Referencia del plan anterior: P12.02.</ns0:v>
      </ns0:c>
      <ns0:c r="V143" s="79" t="str">
        <ns0:f>IF(OR(G143="Implementada",G143="Reportada"),IF(OR(K143="",M143="",O143=""),"Faltan datos reales","Completo"),IF(G143="Parcial",IF(OR(K143="",M143=""),"Faltan horas/inicio","En curso"),"Pendiente"))</ns0:f>
        <ns0:v>Pendiente</ns0:v>
      </ns0:c>
      <ns0:c r="W143" s="79" t="str">
        <ns0:v>Avisos de eventos conectados y comprobados.</ns0:v>
      </ns0:c>
      <ns0:c r="X143" s="79"/>
      <ns0:c r="Y143" s="79" t="str">
        <ns0:v>Pendiente: sin implementación atribuible.</ns0:v>
      </ns0:c>
      <ns0:c r="Z143" s="79" t="str">
        <ns0:v>Evidencias Git, fila 81</ns0:v>
      </ns0:c>
    </ns0:row>
    <ns0:row r="144" ht="30" customHeight="1">
      <ns0:c r="A144" s="94" t="str">
        <ns0:v>P13</ns0:v>
      </ns0:c>
      <ns0:c r="B144" s="94" t="n">
        <ns0:v>1</ns0:v>
      </ns0:c>
      <ns0:c r="C144" s="94" t="str">
        <ns0:v>Historial y perfil completo</ns0:v>
      </ns0:c>
      <ns0:c r="D144" s="94"/>
      <ns0:c r="E144" s="94"/>
      <ns0:c r="F144" s="94"/>
      <ns0:c r="G144" s="94"/>
      <ns0:c r="H144" s="94"/>
      <ns0:c r="I144" s="95" t="n">
        <ns0:f>SUM(I145:I149)</ns0:f>
        <ns0:v>6</ns0:v>
      </ns0:c>
      <ns0:c r="J144" s="95" t="n">
        <ns0:f>SUM(J145:J149)</ns0:f>
        <ns0:v>6</ns0:v>
      </ns0:c>
      <ns0:c r="K144" s="95" t="str">
        <ns0:f>IF(COUNT(K145:K149)=0,"",SUM(K145:K149))</ns0:f>
      </ns0:c>
      <ns0:c r="L144" s="96" t="str">
        <ns0:f>IF(COUNT(L145:L149)=5,MIN(L145:L149),"")</ns0:f>
      </ns0:c>
      <ns0:c r="M144" s="96" t="str">
        <ns0:f>IF(COUNT(M145:M149)=5,MIN(M145:M149),"")</ns0:f>
      </ns0:c>
      <ns0:c r="N144" s="96" t="str">
        <ns0:f>IF(COUNT(N145:N149)=5,MAX(N145:N149),"")</ns0:f>
      </ns0:c>
      <ns0:c r="O144" s="96" t="str">
        <ns0:f>IF(COUNT(O145:O149)=5,MAX(O145:O149),"")</ns0:f>
      </ns0:c>
      <ns0:c r="S144" s="94"/>
      <ns0:c r="T144" s="94"/>
      <ns0:c r="U144" s="94"/>
      <ns0:c r="W144" s="94"/>
      <ns0:c r="X144" s="94"/>
      <ns0:c r="Y144" s="94"/>
      <ns0:c r="Z144" s="94"/>
    </ns0:row>
    <ns0:row r="145" ht="100" customHeight="1">
      <ns0:c r="A145" s="79" t="str">
        <ns0:v>P13.01</ns0:v>
      </ns0:c>
      <ns0:c r="B145" s="79" t="n">
        <ns0:v>2</ns0:v>
      </ns0:c>
      <ns0:c r="C145" s="79" t="str">
        <ns0:v>Base de datos: Consultar historial de publicaciones y recuperaciones</ns0:v>
      </ns0:c>
      <ns0:c r="D145" s="79" t="str">
        <ns0:v>RF18; RF5</ns0:v>
      </ns0:c>
      <ns0:c r="E145" s="79" t="str">
        <ns0:v>P05.01, P05.02, P05.03, P11.05, P11.06</ns0:v>
      </ns0:c>
      <ns0:c r="F145" s="79" t="n">
        <ns0:v>1</ns0:v>
      </ns0:c>
      <ns0:c r="G145" s="79" t="str">
        <ns0:v>Pendiente</ns0:v>
      </ns0:c>
      <ns0:c r="H145" s="97" t="str">
        <ns0:v>Gonzalo</ns0:v>
      </ns0:c>
      <ns0:c r="I145" s="98" t="n">
        <ns0:v>1</ns0:v>
      </ns0:c>
      <ns0:c r="J145" s="98" t="n">
        <ns0:v>1</ns0:v>
      </ns0:c>
      <ns0:c r="K145" s="98"/>
      <ns0:c r="L145" s="99"/>
      <ns0:c r="M145" s="99"/>
      <ns0:c r="N145" s="99"/>
      <ns0:c r="O145" s="99"/>
      <ns0:c r="P145" s="79" t="str">
        <ns0:f t="shared" ref="P145:P150" si="48">IF(K145="","",K145-I145)</ns0:f>
      </ns0:c>
      <ns0:c r="Q145" s="79" t="str">
        <ns0:f t="shared" ref="Q145:Q150" si="49">IF(OR(L145="",M145=""),"",M145-L145)</ns0:f>
      </ns0:c>
      <ns0:c r="R145" s="79" t="str">
        <ns0:f t="shared" ref="R145:R150" si="50">IF(OR(N145="",O145=""),"",O145-N145)</ns0:f>
      </ns0:c>
      <ns0:c r="S145" s="79" t="str">
        <ns0:v>Rojo: caso que demuestre el fallo del criterio. Verde: implementar y ejecutar la prueba. Refactorizar sin perder el verde. Pruebas de integración contra PostgreSQL.</ns0:v>
      </ns0:c>
      <ns0:c r="T145" s="79" t="str">
        <ns0:v>Reutilizar entidades existentes; consulta del historial propio.</ns0:v>
      </ns0:c>
      <ns0:c r="U145" s="79" t="str">
        <ns0:v>Word 5 y 12. Referencia del plan anterior: P13.01.</ns0:v>
      </ns0:c>
      <ns0:c r="V145" s="79" t="str">
        <ns0:f t="shared" ref="V145:V150" si="51">IF(OR(G145="Implementada",G145="Reportada"),IF(OR(K145="",M145="",O145=""),"Faltan datos reales","Completo"),IF(G145="Parcial",IF(OR(K145="",M145=""),"Faltan horas/inicio","En curso"),"Pendiente"))</ns0:f>
        <ns0:v>Pendiente</ns0:v>
      </ns0:c>
      <ns0:c r="W145" s="79" t="str">
        <ns0:v>Consulta del historial propio con permisos.</ns0:v>
      </ns0:c>
      <ns0:c r="X145" s="79"/>
      <ns0:c r="Y145" s="79" t="str">
        <ns0:v>Pendiente: sin implementación atribuible.</ns0:v>
      </ns0:c>
      <ns0:c r="Z145" s="79" t="str">
        <ns0:v>Evidencias Git, fila 82</ns0:v>
      </ns0:c>
    </ns0:row>
    <ns0:row r="146" ht="100" customHeight="1">
      <ns0:c r="A146" s="79" t="str">
        <ns0:v>P13.02</ns0:v>
      </ns0:c>
      <ns0:c r="B146" s="79" t="n">
        <ns0:v>2</ns0:v>
      </ns0:c>
      <ns0:c r="C146" s="79" t="str">
        <ns0:v>Lógica de negocio: Preparar historial del usuario</ns0:v>
      </ns0:c>
      <ns0:c r="D146" s="79" t="str">
        <ns0:v>RF18; RF5</ns0:v>
      </ns0:c>
      <ns0:c r="E146" s="79" t="str">
        <ns0:v>P05.01, P05.02, P05.03, P11.05, P11.06, P13.01</ns0:v>
      </ns0:c>
      <ns0:c r="F146" s="79" t="n">
        <ns0:v>1</ns0:v>
      </ns0:c>
      <ns0:c r="G146" s="79" t="str">
        <ns0:v>Pendiente</ns0:v>
      </ns0:c>
      <ns0:c r="H146" s="97" t="str">
        <ns0:v>Alejandro</ns0:v>
      </ns0:c>
      <ns0:c r="I146" s="98" t="n">
        <ns0:v>1</ns0:v>
      </ns0:c>
      <ns0:c r="J146" s="98" t="n">
        <ns0:v>1</ns0:v>
      </ns0:c>
      <ns0:c r="K146" s="98"/>
      <ns0:c r="L146" s="99"/>
      <ns0:c r="M146" s="99"/>
      <ns0:c r="N146" s="99"/>
      <ns0:c r="O146" s="99"/>
      <ns0:c r="P146" s="79" t="str">
        <ns0:f t="shared" si="48">IF(K146="","",K146-I146)</ns0:f>
      </ns0:c>
      <ns0:c r="Q146" s="79" t="str">
        <ns0:f t="shared" si="49">IF(OR(L146="",M146=""),"",M146-L146)</ns0:f>
      </ns0:c>
      <ns0:c r="R146" s="79" t="str">
        <ns0:f t="shared" si="50">IF(OR(N146="",O146=""),"",O146-N146)</ns0:f>
      </ns0:c>
      <ns0:c r="S146" s="79" t="str">
        <ns0:v>Rojo: caso que demuestre el fallo del criterio. Verde: implementar y ejecutar la prueba. Refactorizar sin perder el verde. Unitarias de reglas e integración donde corresponda.</ns0:v>
      </ns0:c>
      <ns0:c r="T146" s="79" t="str">
        <ns0:v>Publicaciones y recuperados separados de disponibles.</ns0:v>
      </ns0:c>
      <ns0:c r="U146" s="79" t="str">
        <ns0:v>Word 5 y 12. Referencia del plan anterior: P13.01.</ns0:v>
      </ns0:c>
      <ns0:c r="V146" s="79" t="str">
        <ns0:f t="shared" si="51">IF(OR(G146="Implementada",G146="Reportada"),IF(OR(K146="",M146="",O146=""),"Faltan datos reales","Completo"),IF(G146="Parcial",IF(OR(K146="",M146=""),"Faltan horas/inicio","En curso"),"Pendiente"))</ns0:f>
        <ns0:v>Pendiente</ns0:v>
      </ns0:c>
      <ns0:c r="W146" s="79" t="str">
        <ns0:v>Consulta del historial propio con permisos.</ns0:v>
      </ns0:c>
      <ns0:c r="X146" s="79"/>
      <ns0:c r="Y146" s="79" t="str">
        <ns0:v>Pendiente: sin implementación atribuible.</ns0:v>
      </ns0:c>
      <ns0:c r="Z146" s="79" t="str">
        <ns0:v>Evidencias Git, fila 82</ns0:v>
      </ns0:c>
    </ns0:row>
    <ns0:row r="147" ht="100" customHeight="1">
      <ns0:c r="A147" s="79" t="str">
        <ns0:v>P13.03</ns0:v>
      </ns0:c>
      <ns0:c r="B147" s="79" t="n">
        <ns0:v>2</ns0:v>
      </ns0:c>
      <ns0:c r="C147" s="79" t="str">
        <ns0:v>Interfaz de usuario: Incorporar historial al perfil</ns0:v>
      </ns0:c>
      <ns0:c r="D147" s="79" t="str">
        <ns0:v>RF18; RF5</ns0:v>
      </ns0:c>
      <ns0:c r="E147" s="79" t="str">
        <ns0:v>P05.01, P05.02, P05.03, P11.05, P11.06, P13.01, P13.02</ns0:v>
      </ns0:c>
      <ns0:c r="F147" s="79" t="n">
        <ns0:v>2</ns0:v>
      </ns0:c>
      <ns0:c r="G147" s="79" t="str">
        <ns0:v>Pendiente</ns0:v>
      </ns0:c>
      <ns0:c r="H147" s="97" t="str">
        <ns0:v>Alvaro</ns0:v>
      </ns0:c>
      <ns0:c r="I147" s="98" t="n">
        <ns0:v>2</ns0:v>
      </ns0:c>
      <ns0:c r="J147" s="98" t="n">
        <ns0:v>2</ns0:v>
      </ns0:c>
      <ns0:c r="K147" s="98"/>
      <ns0:c r="L147" s="99"/>
      <ns0:c r="M147" s="99"/>
      <ns0:c r="N147" s="99"/>
      <ns0:c r="O147" s="99"/>
      <ns0:c r="P147" s="79" t="str">
        <ns0:f t="shared" si="48">IF(K147="","",K147-I147)</ns0:f>
      </ns0:c>
      <ns0:c r="Q147" s="79" t="str">
        <ns0:f t="shared" si="49">IF(OR(L147="",M147=""),"",M147-L147)</ns0:f>
      </ns0:c>
      <ns0:c r="R147" s="79" t="str">
        <ns0:f t="shared" si="50">IF(OR(N147="",O147=""),"",O147-N147)</ns0:f>
      </ns0:c>
      <ns0:c r="S147" s="79" t="str">
        <ns0:v>Rojo: caso que demuestre el fallo del criterio. Verde: implementar y ejecutar la prueba. Refactorizar sin perder el verde. Pruebas de interacción y validación de interfaz.</ns0:v>
      </ns0:c>
      <ns0:c r="T147" s="79" t="str">
        <ns0:v>Listado y acceso al detalle histórico.</ns0:v>
      </ns0:c>
      <ns0:c r="U147" s="79" t="str">
        <ns0:v>Word 5 y 12. Referencia del plan anterior: P13.01.</ns0:v>
      </ns0:c>
      <ns0:c r="V147" s="79" t="str">
        <ns0:f t="shared" si="51">IF(OR(G147="Implementada",G147="Reportada"),IF(OR(K147="",M147="",O147=""),"Faltan datos reales","Completo"),IF(G147="Parcial",IF(OR(K147="",M147=""),"Faltan horas/inicio","En curso"),"Pendiente"))</ns0:f>
        <ns0:v>Pendiente</ns0:v>
      </ns0:c>
      <ns0:c r="W147" s="79" t="str">
        <ns0:v>Historial del perfil conectado y comprobado.</ns0:v>
      </ns0:c>
      <ns0:c r="X147" s="79"/>
      <ns0:c r="Y147" s="79" t="str">
        <ns0:v>Pendiente: sin implementación atribuible.</ns0:v>
      </ns0:c>
      <ns0:c r="Z147" s="79" t="str">
        <ns0:v>Evidencias Git, fila 83</ns0:v>
      </ns0:c>
    </ns0:row>
    <ns0:row r="148" ht="100" customHeight="1">
      <ns0:c r="A148" s="79" t="str">
        <ns0:v>P13.04</ns0:v>
      </ns0:c>
      <ns0:c r="B148" s="79" t="n">
        <ns0:v>2</ns0:v>
      </ns0:c>
      <ns0:c r="C148" s="79" t="str">
        <ns0:v>Seguridad: Restringir historial privado al propietario</ns0:v>
      </ns0:c>
      <ns0:c r="D148" s="79" t="str">
        <ns0:v>RF18; RF5</ns0:v>
      </ns0:c>
      <ns0:c r="E148" s="79" t="str">
        <ns0:v>P05.01, P05.02, P05.03, P11.05, P11.06, P13.01, P13.02</ns0:v>
      </ns0:c>
      <ns0:c r="F148" s="79" t="n">
        <ns0:v>1</ns0:v>
      </ns0:c>
      <ns0:c r="G148" s="79" t="str">
        <ns0:v>Pendiente</ns0:v>
      </ns0:c>
      <ns0:c r="H148" s="97" t="str">
        <ns0:v>Jesús</ns0:v>
      </ns0:c>
      <ns0:c r="I148" s="98" t="n">
        <ns0:v>1</ns0:v>
      </ns0:c>
      <ns0:c r="J148" s="98" t="n">
        <ns0:v>1</ns0:v>
      </ns0:c>
      <ns0:c r="K148" s="98"/>
      <ns0:c r="L148" s="99"/>
      <ns0:c r="M148" s="99"/>
      <ns0:c r="N148" s="99"/>
      <ns0:c r="O148" s="99"/>
      <ns0:c r="P148" s="79" t="str">
        <ns0:f t="shared" si="48">IF(K148="","",K148-I148)</ns0:f>
      </ns0:c>
      <ns0:c r="Q148" s="79" t="str">
        <ns0:f t="shared" si="49">IF(OR(L148="",M148=""),"",M148-L148)</ns0:f>
      </ns0:c>
      <ns0:c r="R148" s="79" t="str">
        <ns0:f t="shared" si="50">IF(OR(N148="",O148=""),"",O148-N148)</ns0:f>
      </ns0:c>
      <ns0:c r="S148" s="79" t="str">
        <ns0:v>Rojo: caso que demuestre el fallo del criterio. Verde: implementar y ejecutar la prueba. Refactorizar sin perder el verde. Casos autorizados y ataques/accesos rechazados.</ns0:v>
      </ns0:c>
      <ns0:c r="T148" s="79" t="str">
        <ns0:v>Rechazar consulta de historial ajeno.</ns0:v>
      </ns0:c>
      <ns0:c r="U148" s="79" t="str">
        <ns0:v>Word 5 y 12. Referencia del plan anterior: P13.01.</ns0:v>
      </ns0:c>
      <ns0:c r="V148" s="79" t="str">
        <ns0:f t="shared" si="51">IF(OR(G148="Implementada",G148="Reportada"),IF(OR(K148="",M148="",O148=""),"Faltan datos reales","Completo"),IF(G148="Parcial",IF(OR(K148="",M148=""),"Faltan horas/inicio","En curso"),"Pendiente"))</ns0:f>
        <ns0:v>Pendiente</ns0:v>
      </ns0:c>
      <ns0:c r="W148" s="79" t="str">
        <ns0:v>Consulta del historial propio con permisos.</ns0:v>
      </ns0:c>
      <ns0:c r="X148" s="79"/>
      <ns0:c r="Y148" s="79" t="str">
        <ns0:v>Pendiente: sin implementación atribuible.</ns0:v>
      </ns0:c>
      <ns0:c r="Z148" s="79" t="str">
        <ns0:v>Evidencias Git, fila 82</ns0:v>
      </ns0:c>
    </ns0:row>
    <ns0:row r="149" ht="100" customHeight="1">
      <ns0:c r="A149" s="79" t="str">
        <ns0:v>P13.05</ns0:v>
      </ns0:c>
      <ns0:c r="B149" s="79" t="n">
        <ns0:v>2</ns0:v>
      </ns0:c>
      <ns0:c r="C149" s="79" t="str">
        <ns0:v>Integración: Verificar historial tras publicación y devolución</ns0:v>
      </ns0:c>
      <ns0:c r="D149" s="79" t="str">
        <ns0:v>RF18; RF5</ns0:v>
      </ns0:c>
      <ns0:c r="E149" s="79" t="str">
        <ns0:v>P05.01, P05.02, P05.03, P11.05, P11.06, P13.01, P13.02, P13.03, P13.04</ns0:v>
      </ns0:c>
      <ns0:c r="F149" s="79" t="n">
        <ns0:v>2</ns0:v>
      </ns0:c>
      <ns0:c r="G149" s="79" t="str">
        <ns0:v>Pendiente</ns0:v>
      </ns0:c>
      <ns0:c r="H149" s="97" t="str">
        <ns0:v>Jorge</ns0:v>
      </ns0:c>
      <ns0:c r="I149" s="98" t="n">
        <ns0:v>1</ns0:v>
      </ns0:c>
      <ns0:c r="J149" s="98" t="n">
        <ns0:v>1</ns0:v>
      </ns0:c>
      <ns0:c r="K149" s="98"/>
      <ns0:c r="L149" s="99"/>
      <ns0:c r="M149" s="99"/>
      <ns0:c r="N149" s="99"/>
      <ns0:c r="O149" s="99"/>
      <ns0:c r="P149" s="79" t="str">
        <ns0:f t="shared" si="48">IF(K149="","",K149-I149)</ns0:f>
      </ns0:c>
      <ns0:c r="Q149" s="79" t="str">
        <ns0:f t="shared" si="49">IF(OR(L149="",M149=""),"",M149-L149)</ns0:f>
      </ns0:c>
      <ns0:c r="R149" s="79" t="str">
        <ns0:f t="shared" si="50">IF(OR(N149="",O149=""),"",O149-N149)</ns0:f>
      </ns0:c>
      <ns0:c r="S149" s="79" t="str">
        <ns0:v>Rojo: caso que demuestre el fallo del criterio. Verde: implementar y ejecutar la prueba. Refactorizar sin perder el verde. Comprobar componentes conectados y flujo E2E pertinente.</ns0:v>
      </ns0:c>
      <ns0:c r="T149" s="79" t="str">
        <ns0:v>Cambios reales visibles en perfil y persistentes.</ns0:v>
      </ns0:c>
      <ns0:c r="U149" s="79" t="str">
        <ns0:v>Word 5 y 12. Referencia del plan anterior: P13.01.</ns0:v>
      </ns0:c>
      <ns0:c r="V149" s="79" t="str">
        <ns0:f t="shared" si="51">IF(OR(G149="Implementada",G149="Reportada"),IF(OR(K149="",M149="",O149=""),"Faltan datos reales","Completo"),IF(G149="Parcial",IF(OR(K149="",M149=""),"Faltan horas/inicio","En curso"),"Pendiente"))</ns0:f>
        <ns0:v>Pendiente</ns0:v>
      </ns0:c>
      <ns0:c r="W149" s="79" t="str">
        <ns0:v>Historial del perfil conectado y comprobado.</ns0:v>
      </ns0:c>
      <ns0:c r="X149" s="79"/>
      <ns0:c r="Y149" s="79" t="str">
        <ns0:v>Pendiente: sin implementación atribuible.</ns0:v>
      </ns0:c>
      <ns0:c r="Z149" s="79" t="str">
        <ns0:v>Evidencias Git, fila 83</ns0:v>
      </ns0:c>
    </ns0:row>
    <ns0:row r="150" ht="30" customHeight="1">
      <ns0:c r="A150" s="94" t="str">
        <ns0:v>P14</ns0:v>
      </ns0:c>
      <ns0:c r="B150" s="94" t="n">
        <ns0:v>1</ns0:v>
      </ns0:c>
      <ns0:c r="C150" s="94" t="str">
        <ns0:v>Calidad transversal y cierre funcional</ns0:v>
      </ns0:c>
      <ns0:c r="D150" s="94"/>
      <ns0:c r="E150" s="94"/>
      <ns0:c r="F150" s="94"/>
      <ns0:c r="G150" s="94"/>
      <ns0:c r="H150" s="94"/>
      <ns0:c r="I150" s="95" t="n">
        <ns0:f>SUM(I151:I156)</ns0:f>
        <ns0:v>40</ns0:v>
      </ns0:c>
      <ns0:c r="J150" s="95" t="n">
        <ns0:f>SUM(J151:J156)</ns0:f>
        <ns0:v>40</ns0:v>
      </ns0:c>
      <ns0:c r="K150" s="95" t="str">
        <ns0:f>IF(COUNT(K151:K156)=0,"",SUM(K151:K156))</ns0:f>
      </ns0:c>
      <ns0:c r="L150" s="96" t="str">
        <ns0:f>IF(COUNT(L151:L156)=6,MIN(L151:L156),"")</ns0:f>
      </ns0:c>
      <ns0:c r="M150" s="96" t="str">
        <ns0:f>IF(COUNT(M151:M156)=6,MIN(M151:M156),"")</ns0:f>
      </ns0:c>
      <ns0:c r="N150" s="96" t="str">
        <ns0:f>IF(COUNT(N151:N156)=6,MAX(N151:N156),"")</ns0:f>
      </ns0:c>
      <ns0:c r="O150" s="96" t="str">
        <ns0:f>IF(COUNT(O151:O156)=6,MAX(O151:O156),"")</ns0:f>
      </ns0:c>
      <ns0:c r="S150" s="94"/>
      <ns0:c r="T150" s="94"/>
      <ns0:c r="U150" s="94"/>
      <ns0:c r="W150" s="94"/>
      <ns0:c r="X150" s="94"/>
      <ns0:c r="Y150" s="94"/>
      <ns0:c r="Z150" s="94"/>
    </ns0:row>
    <ns0:row r="151" ht="100" customHeight="1">
      <ns0:c r="A151" s="79" t="str">
        <ns0:v>P14.01</ns0:v>
      </ns0:c>
      <ns0:c r="B151" s="79" t="n">
        <ns0:v>2</ns0:v>
      </ns0:c>
      <ns0:c r="C151" s="79" t="str">
        <ns0:v>Integración: Completar navegación entre todos los módulos</ns0:v>
      </ns0:c>
      <ns0:c r="D151" s="79" t="str">
        <ns0:v>RF19</ns0:v>
      </ns0:c>
      <ns0:c r="E151" s="79" t="str">
        <ns0:v>P03.02, P03.03, P04.16, P04.17, P04.18, P05.04, P05.05, P05.06, P05.07, P07.15, P07.16, P07.17, P07.18, P08.06, P08.07, P08.08, P08.09, P10.08, P10.09, P10.10, P12.05, P12.06, P13.01, P13.02, P13.03, P13.04, P13.05</ns0:v>
      </ns0:c>
      <ns0:c r="F151" s="79" t="n">
        <ns0:v>1</ns0:v>
      </ns0:c>
      <ns0:c r="G151" s="79" t="str">
        <ns0:v>Pendiente</ns0:v>
      </ns0:c>
      <ns0:c r="H151" s="97" t="str">
        <ns0:v>Alejandro</ns0:v>
      </ns0:c>
      <ns0:c r="I151" s="98" t="n">
        <ns0:v>6</ns0:v>
      </ns0:c>
      <ns0:c r="J151" s="98" t="n">
        <ns0:v>6</ns0:v>
      </ns0:c>
      <ns0:c r="K151" s="98"/>
      <ns0:c r="L151" s="99"/>
      <ns0:c r="M151" s="99"/>
      <ns0:c r="N151" s="99"/>
      <ns0:c r="O151" s="99"/>
      <ns0:c r="P151" s="79" t="str">
        <ns0:f>IF(K151="","",K151-I151)</ns0:f>
      </ns0:c>
      <ns0:c r="Q151" s="79" t="str">
        <ns0:f>IF(OR(L151="",M151=""),"",M151-L151)</ns0:f>
      </ns0:c>
      <ns0:c r="R151" s="79" t="str">
        <ns0:f>IF(OR(N151="",O151=""),"",O151-N151)</ns0:f>
      </ns0:c>
      <ns0:c r="S151" s="79" t="str">
        <ns0:v>Rojo: caso que demuestre el fallo del criterio. Verde: implementar y ejecutar la prueba. Refactorizar sin perder el verde. Comprobar componentes conectados y flujo E2E pertinente.</ns0:v>
      </ns0:c>
      <ns0:c r="T151" s="79" t="str">
        <ns0:v>Menú, apertura/cierre, enlaces y vuelta consistentes; ninguna acción comprometida queda como simulación.</ns0:v>
      </ns0:c>
      <ns0:c r="U151" s="79" t="str">
        <ns0:v>Word 14. Referencia del plan anterior: P14.01.</ns0:v>
      </ns0:c>
      <ns0:c r="V151" s="79" t="str">
        <ns0:f>IF(OR(G151="Implementada",G151="Reportada"),IF(OR(K151="",M151="",O151=""),"Faltan datos reales","Completo"),IF(G151="Parcial",IF(OR(K151="",M151=""),"Faltan horas/inicio","En curso"),"Pendiente"))</ns0:f>
        <ns0:v>Pendiente</ns0:v>
      </ns0:c>
      <ns0:c r="W151" s="79" t="str">
        <ns0:v>Navegación final integrada.</ns0:v>
      </ns0:c>
      <ns0:c r="X151" s="79"/>
      <ns0:c r="Y151" s="79" t="str">
        <ns0:v>Pendiente: sin implementación atribuible.</ns0:v>
      </ns0:c>
      <ns0:c r="Z151" s="79" t="str">
        <ns0:v>Evidencias Git, fila 84</ns0:v>
      </ns0:c>
    </ns0:row>
    <ns0:row r="152" ht="100" customHeight="1">
      <ns0:c r="A152" s="79" t="str">
        <ns0:v>P14.02</ns0:v>
      </ns0:c>
      <ns0:c r="B152" s="79" t="n">
        <ns0:v>2</ns0:v>
      </ns0:c>
      <ns0:c r="C152" s="79" t="str">
        <ns0:v>Integración: Unificar errores y validaciones de toda la aplicación</ns0:v>
      </ns0:c>
      <ns0:c r="D152" s="79" t="str">
        <ns0:v>DOC16</ns0:v>
      </ns0:c>
      <ns0:c r="E152" s="79" t="str">
        <ns0:v>P14.01</ns0:v>
      </ns0:c>
      <ns0:c r="F152" s="79" t="n">
        <ns0:v>2</ns0:v>
      </ns0:c>
      <ns0:c r="G152" s="79" t="str">
        <ns0:v>Pendiente</ns0:v>
      </ns0:c>
      <ns0:c r="H152" s="97" t="str">
        <ns0:v>Jorge</ns0:v>
      </ns0:c>
      <ns0:c r="I152" s="98" t="n">
        <ns0:v>5</ns0:v>
      </ns0:c>
      <ns0:c r="J152" s="98" t="n">
        <ns0:v>5</ns0:v>
      </ns0:c>
      <ns0:c r="K152" s="98"/>
      <ns0:c r="L152" s="99"/>
      <ns0:c r="M152" s="99"/>
      <ns0:c r="N152" s="99"/>
      <ns0:c r="O152" s="99"/>
      <ns0:c r="P152" s="79" t="str">
        <ns0:f>IF(K152="","",K152-I152)</ns0:f>
      </ns0:c>
      <ns0:c r="Q152" s="79" t="str">
        <ns0:f>IF(OR(L152="",M152=""),"",M152-L152)</ns0:f>
      </ns0:c>
      <ns0:c r="R152" s="79" t="str">
        <ns0:f>IF(OR(N152="",O152=""),"",O152-N152)</ns0:f>
      </ns0:c>
      <ns0:c r="S152" s="79" t="str">
        <ns0:v>Rojo: caso que demuestre el fallo del criterio. Verde: implementar y ejecutar la prueba. Refactorizar sin perder el verde. Comprobar componentes conectados y flujo E2E pertinente.</ns0:v>
      </ns0:c>
      <ns0:c r="T152" s="79" t="str">
        <ns0:v>Formularios y fallos previsibles con mensajes claros; errores internos sin secretos ni cierres inesperados.</ns0:v>
      </ns0:c>
      <ns0:c r="U152" s="79" t="str">
        <ns0:v>Base en src/app.js y auth; resto por implementar. Referencia del plan anterior: P14.02.</ns0:v>
      </ns0:c>
      <ns0:c r="V152" s="79" t="str">
        <ns0:f>IF(OR(G152="Implementada",G152="Reportada"),IF(OR(K152="",M152="",O152=""),"Faltan datos reales","Completo"),IF(G152="Parcial",IF(OR(K152="",M152=""),"Faltan horas/inicio","En curso"),"Pendiente"))</ns0:f>
        <ns0:v>Pendiente</ns0:v>
      </ns0:c>
      <ns0:c r="W152" s="79" t="str">
        <ns0:v>Errores coherentes entre módulos.</ns0:v>
      </ns0:c>
      <ns0:c r="X152" s="79"/>
      <ns0:c r="Y152" s="79" t="str">
        <ns0:v>Pendiente: sin implementación atribuible.</ns0:v>
      </ns0:c>
      <ns0:c r="Z152" s="79" t="str">
        <ns0:v>Evidencias Git, fila 85</ns0:v>
      </ns0:c>
    </ns0:row>
    <ns0:row r="153" ht="100" customHeight="1">
      <ns0:c r="A153" s="79" t="str">
        <ns0:v>P14.03</ns0:v>
      </ns0:c>
      <ns0:c r="B153" s="79" t="n">
        <ns0:v>2</ns0:v>
      </ns0:c>
      <ns0:c r="C153" s="79" t="str">
        <ns0:v>Seguridad: Auditar privacidad y permisos de todas las entidades</ns0:v>
      </ns0:c>
      <ns0:c r="D153" s="79" t="str">
        <ns0:v>RF3; DOC17; DOC20</ns0:v>
      </ns0:c>
      <ns0:c r="E153" s="79" t="str">
        <ns0:v>P14.01, P01.06</ns0:v>
      </ns0:c>
      <ns0:c r="F153" s="79" t="n">
        <ns0:v>3</ns0:v>
      </ns0:c>
      <ns0:c r="G153" s="79" t="str">
        <ns0:v>Pendiente</ns0:v>
      </ns0:c>
      <ns0:c r="H153" s="97" t="str">
        <ns0:v>Alvaro</ns0:v>
      </ns0:c>
      <ns0:c r="I153" s="98" t="n">
        <ns0:v>8</ns0:v>
      </ns0:c>
      <ns0:c r="J153" s="98" t="n">
        <ns0:v>8</ns0:v>
      </ns0:c>
      <ns0:c r="K153" s="98"/>
      <ns0:c r="L153" s="99"/>
      <ns0:c r="M153" s="99"/>
      <ns0:c r="N153" s="99"/>
      <ns0:c r="O153" s="99"/>
      <ns0:c r="P153" s="79" t="str">
        <ns0:f>IF(K153="","",K153-I153)</ns0:f>
      </ns0:c>
      <ns0:c r="Q153" s="79" t="str">
        <ns0:f>IF(OR(L153="",M153=""),"",M153-L153)</ns0:f>
      </ns0:c>
      <ns0:c r="R153" s="79" t="str">
        <ns0:f>IF(OR(N153="",O153=""),"",O153-N153)</ns0:f>
      </ns0:c>
      <ns0:c r="S153" s="79" t="str">
        <ns0:v>Rojo: caso que demuestre el fallo del criterio. Verde: implementar y ejecutar la prueba. Refactorizar sin perder el verde. Casos autorizados y ataques/accesos rechazados.</ns0:v>
      </ns0:c>
      <ns0:c r="T153" s="79" t="str">
        <ns0:v>Pruebas de acceso cruzado, edición/borrado ajenos, chats privados, datos personales y detalles ocultos.</ns0:v>
      </ns0:c>
      <ns0:c r="U153" s="79" t="str">
        <ns0:v>Seguridad de autenticación presente; autorización de módulos futura. Referencia del plan anterior: P14.03.</ns0:v>
      </ns0:c>
      <ns0:c r="V153" s="79" t="str">
        <ns0:f>IF(OR(G153="Implementada",G153="Reportada"),IF(OR(K153="",M153="",O153=""),"Faltan datos reales","Completo"),IF(G153="Parcial",IF(OR(K153="",M153=""),"Faltan horas/inicio","En curso"),"Pendiente"))</ns0:f>
        <ns0:v>Pendiente</ns0:v>
      </ns0:c>
      <ns0:c r="W153" s="79" t="str">
        <ns0:v>Permisos y privacidad revisados globalmente.</ns0:v>
      </ns0:c>
      <ns0:c r="X153" s="79"/>
      <ns0:c r="Y153" s="79" t="str">
        <ns0:v>Pendiente: sin implementación atribuible.</ns0:v>
      </ns0:c>
      <ns0:c r="Z153" s="79" t="str">
        <ns0:v>Evidencias Git, fila 86</ns0:v>
      </ns0:c>
    </ns0:row>
    <ns0:row r="154" ht="100" customHeight="1">
      <ns0:c r="A154" s="79" t="str">
        <ns0:v>P14.04</ns0:v>
      </ns0:c>
      <ns0:c r="B154" s="79" t="n">
        <ns0:v>2</ns0:v>
      </ns0:c>
      <ns0:c r="C154" s="79" t="str">
        <ns0:v>Base de datos: Comprobar integridad y persistencia tras reinicio</ns0:v>
      </ns0:c>
      <ns0:c r="D154" s="79" t="str">
        <ns0:v>RF3; DOC19</ns0:v>
      </ns0:c>
      <ns0:c r="E154" s="79" t="str">
        <ns0:v>P14.01</ns0:v>
      </ns0:c>
      <ns0:c r="F154" s="79" t="n">
        <ns0:v>4</ns0:v>
      </ns0:c>
      <ns0:c r="G154" s="79" t="str">
        <ns0:v>Pendiente</ns0:v>
      </ns0:c>
      <ns0:c r="H154" s="97" t="str">
        <ns0:v>Jesús</ns0:v>
      </ns0:c>
      <ns0:c r="I154" s="98" t="n">
        <ns0:v>6</ns0:v>
      </ns0:c>
      <ns0:c r="J154" s="98" t="n">
        <ns0:v>6</ns0:v>
      </ns0:c>
      <ns0:c r="K154" s="98"/>
      <ns0:c r="L154" s="99"/>
      <ns0:c r="M154" s="99"/>
      <ns0:c r="N154" s="99"/>
      <ns0:c r="O154" s="99"/>
      <ns0:c r="P154" s="79" t="str">
        <ns0:f>IF(K154="","",K154-I154)</ns0:f>
      </ns0:c>
      <ns0:c r="Q154" s="79" t="str">
        <ns0:f>IF(OR(L154="",M154=""),"",M154-L154)</ns0:f>
      </ns0:c>
      <ns0:c r="R154" s="79" t="str">
        <ns0:f>IF(OR(N154="",O154=""),"",O154-N154)</ns0:f>
      </ns0:c>
      <ns0:c r="S154" s="79" t="str">
        <ns0:v>Rojo: caso que demuestre el fallo del criterio. Verde: implementar y ejecutar la prueba. Refactorizar sin perder el verde. Pruebas de integración contra PostgreSQL.</ns0:v>
      </ns0:c>
      <ns0:c r="T154" s="79" t="str">
        <ns0:v>Usuarios, perfiles, publicaciones, objetos, coincidencias, reclamaciones, mensajes, avisos, ubicaciones y entregas persisten.</ns0:v>
      </ns0:c>
      <ns0:c r="U154" s="79" t="str">
        <ns0:v>RF3 no completo: faltan entidades de negocio. Referencia del plan anterior: P14.04.</ns0:v>
      </ns0:c>
      <ns0:c r="V154" s="79" t="str">
        <ns0:f>IF(OR(G154="Implementada",G154="Reportada"),IF(OR(K154="",M154="",O154=""),"Faltan datos reales","Completo"),IF(G154="Parcial",IF(OR(K154="",M154=""),"Faltan horas/inicio","En curso"),"Pendiente"))</ns0:f>
        <ns0:v>Pendiente</ns0:v>
      </ns0:c>
      <ns0:c r="W154" s="79" t="str">
        <ns0:v>Persistencia global tras reinicio comprobada.</ns0:v>
      </ns0:c>
      <ns0:c r="X154" s="79"/>
      <ns0:c r="Y154" s="79" t="str">
        <ns0:v>Pendiente: sin implementación atribuible.</ns0:v>
      </ns0:c>
      <ns0:c r="Z154" s="79" t="str">
        <ns0:v>Evidencias Git, fila 87</ns0:v>
      </ns0:c>
    </ns0:row>
    <ns0:row r="155" ht="100" customHeight="1">
      <ns0:c r="A155" s="79" t="str">
        <ns0:v>P14.05</ns0:v>
      </ns0:c>
      <ns0:c r="B155" s="79" t="n">
        <ns0:v>2</ns0:v>
      </ns0:c>
      <ns0:c r="C155" s="79" t="str">
        <ns0:v>Interfaz de usuario: Validar responsive, teclado y navegadores acordados</ns0:v>
      </ns0:c>
      <ns0:c r="D155" s="79" t="str">
        <ns0:v>RF20; DOC21</ns0:v>
      </ns0:c>
      <ns0:c r="E155" s="79" t="str">
        <ns0:v>P14.01, P01.06</ns0:v>
      </ns0:c>
      <ns0:c r="F155" s="79" t="n">
        <ns0:v>5</ns0:v>
      </ns0:c>
      <ns0:c r="G155" s="79" t="str">
        <ns0:v>Pendiente</ns0:v>
      </ns0:c>
      <ns0:c r="H155" s="97" t="str">
        <ns0:v>Alejandro</ns0:v>
      </ns0:c>
      <ns0:c r="I155" s="98" t="n">
        <ns0:v>7</ns0:v>
      </ns0:c>
      <ns0:c r="J155" s="98" t="n">
        <ns0:v>7</ns0:v>
      </ns0:c>
      <ns0:c r="K155" s="98"/>
      <ns0:c r="L155" s="99"/>
      <ns0:c r="M155" s="99"/>
      <ns0:c r="N155" s="99"/>
      <ns0:c r="O155" s="99"/>
      <ns0:c r="P155" s="79" t="str">
        <ns0:f>IF(K155="","",K155-I155)</ns0:f>
      </ns0:c>
      <ns0:c r="Q155" s="79" t="str">
        <ns0:f>IF(OR(L155="",M155=""),"",M155-L155)</ns0:f>
      </ns0:c>
      <ns0:c r="R155" s="79" t="str">
        <ns0:f>IF(OR(N155="",O155=""),"",O155-N155)</ns0:f>
      </ns0:c>
      <ns0:c r="S155" s="79" t="str">
        <ns0:v>Rojo: caso que demuestre el fallo del criterio. Verde: implementar y ejecutar la prueba. Refactorizar sin perder el verde. Pruebas de interacción y validación de interfaz.</ns0:v>
      </ns0:c>
      <ns0:c r="T155" s="79" t="str">
        <ns0:v>Flujos completos en ordenador, tablet y móvil; textos, botones, imágenes y navegación utilizables.</ns0:v>
      </ns0:c>
      <ns0:c r="U155" s="79" t="str">
        <ns0:v>Portada/acceso ya adaptados; no valida las pantallas futuras. Referencia del plan anterior: P14.05.</ns0:v>
      </ns0:c>
      <ns0:c r="V155" s="79" t="str">
        <ns0:f>IF(OR(G155="Implementada",G155="Reportada"),IF(OR(K155="",M155="",O155=""),"Faltan datos reales","Completo"),IF(G155="Parcial",IF(OR(K155="",M155=""),"Faltan horas/inicio","En curso"),"Pendiente"))</ns0:f>
        <ns0:v>Pendiente</ns0:v>
      </ns0:c>
      <ns0:c r="W155" s="79" t="str">
        <ns0:v>Responsive y teclado revisados.</ns0:v>
      </ns0:c>
      <ns0:c r="X155" s="79"/>
      <ns0:c r="Y155" s="79" t="str">
        <ns0:v>Pendiente: sin implementación atribuible.</ns0:v>
      </ns0:c>
      <ns0:c r="Z155" s="79" t="str">
        <ns0:v>Evidencias Git, fila 88</ns0:v>
      </ns0:c>
    </ns0:row>
    <ns0:row r="156" ht="100" customHeight="1">
      <ns0:c r="A156" s="79" t="str">
        <ns0:v>P14.06</ns0:v>
      </ns0:c>
      <ns0:c r="B156" s="79" t="n">
        <ns0:v>2</ns0:v>
      </ns0:c>
      <ns0:c r="C156" s="79" t="str">
        <ns0:v>Rendimiento: Medir rendimiento y corregir consultas costosas</ns0:v>
      </ns0:c>
      <ns0:c r="D156" s="79" t="str">
        <ns0:v>DOC18</ns0:v>
      </ns0:c>
      <ns0:c r="E156" s="79" t="str">
        <ns0:v>P14.01, P01.06</ns0:v>
      </ns0:c>
      <ns0:c r="F156" s="79" t="n">
        <ns0:v>6</ns0:v>
      </ns0:c>
      <ns0:c r="G156" s="79" t="str">
        <ns0:v>Pendiente</ns0:v>
      </ns0:c>
      <ns0:c r="H156" s="97" t="str">
        <ns0:v>Jorge</ns0:v>
      </ns0:c>
      <ns0:c r="I156" s="98" t="n">
        <ns0:v>8</ns0:v>
      </ns0:c>
      <ns0:c r="J156" s="98" t="n">
        <ns0:v>8</ns0:v>
      </ns0:c>
      <ns0:c r="K156" s="98"/>
      <ns0:c r="L156" s="99"/>
      <ns0:c r="M156" s="99"/>
      <ns0:c r="N156" s="99"/>
      <ns0:c r="O156" s="99"/>
      <ns0:c r="P156" s="79" t="str">
        <ns0:f>IF(K156="","",K156-I156)</ns0:f>
      </ns0:c>
      <ns0:c r="Q156" s="79" t="str">
        <ns0:f>IF(OR(L156="",M156=""),"",M156-L156)</ns0:f>
      </ns0:c>
      <ns0:c r="R156" s="79" t="str">
        <ns0:f>IF(OR(N156="",O156=""),"",O156-N156)</ns0:f>
      </ns0:c>
      <ns0:c r="S156" s="79" t="str">
        <ns0:v>Rojo: caso que demuestre el fallo del criterio. Verde: implementar y ejecutar la prueba. Refactorizar sin perder el verde. Unitarias de reglas e integración donde corresponda.</ns0:v>
      </ns0:c>
      <ns0:c r="T156" s="79" t="str">
        <ns0:v>Con dataset y carga acordados: búsquedas y consultas bajo objetivo, paginación e índices verificados.</ns0:v>
      </ns0:c>
      <ns0:c r="U156" s="79" t="str">
        <ns0:v>No hay aún datos de carga ni umbrales aprobados. Referencia del plan anterior: P14.06.</ns0:v>
      </ns0:c>
      <ns0:c r="V156" s="79" t="str">
        <ns0:f>IF(OR(G156="Implementada",G156="Reportada"),IF(OR(K156="",M156="",O156=""),"Faltan datos reales","Completo"),IF(G156="Parcial",IF(OR(K156="",M156=""),"Faltan horas/inicio","En curso"),"Pendiente"))</ns0:f>
        <ns0:v>Pendiente</ns0:v>
      </ns0:c>
      <ns0:c r="W156" s="79" t="str">
        <ns0:v>Rendimiento medido contra criterios acordados.</ns0:v>
      </ns0:c>
      <ns0:c r="X156" s="79"/>
      <ns0:c r="Y156" s="79" t="str">
        <ns0:v>Pendiente: sin implementación atribuible.</ns0:v>
      </ns0:c>
      <ns0:c r="Z156" s="79" t="str">
        <ns0:v>Evidencias Git, fila 89</ns0:v>
      </ns0:c>
    </ns0:row>
    <ns0:row r="157" ht="30" customHeight="1">
      <ns0:c r="A157" s="94" t="str">
        <ns0:v>P15</ns0:v>
      </ns0:c>
      <ns0:c r="B157" s="94" t="n">
        <ns0:v>1</ns0:v>
      </ns0:c>
      <ns0:c r="C157" s="94" t="str">
        <ns0:v>Aceptación y entrega de la práctica</ns0:v>
      </ns0:c>
      <ns0:c r="D157" s="94"/>
      <ns0:c r="E157" s="94"/>
      <ns0:c r="F157" s="94"/>
      <ns0:c r="G157" s="94"/>
      <ns0:c r="H157" s="94"/>
      <ns0:c r="I157" s="95" t="n">
        <ns0:f>SUM(I158:I160)</ns0:f>
        <ns0:v>18</ns0:v>
      </ns0:c>
      <ns0:c r="J157" s="95" t="n">
        <ns0:f>SUM(J158:J160)</ns0:f>
        <ns0:v>18</ns0:v>
      </ns0:c>
      <ns0:c r="K157" s="95" t="str">
        <ns0:f>IF(COUNT(K158:K160)=0,"",SUM(K158:K160))</ns0:f>
      </ns0:c>
      <ns0:c r="L157" s="96" t="str">
        <ns0:f>IF(COUNT(L158:L160)=3,MIN(L158:L160),"")</ns0:f>
      </ns0:c>
      <ns0:c r="M157" s="96" t="str">
        <ns0:f>IF(COUNT(M158:M160)=3,MIN(M158:M160),"")</ns0:f>
      </ns0:c>
      <ns0:c r="N157" s="96" t="str">
        <ns0:f>IF(COUNT(N158:N160)=3,MAX(N158:N160),"")</ns0:f>
      </ns0:c>
      <ns0:c r="O157" s="96" t="str">
        <ns0:f>IF(COUNT(O158:O160)=3,MAX(O158:O160),"")</ns0:f>
      </ns0:c>
      <ns0:c r="S157" s="94"/>
      <ns0:c r="T157" s="94"/>
      <ns0:c r="U157" s="94"/>
      <ns0:c r="W157" s="94"/>
      <ns0:c r="X157" s="94"/>
      <ns0:c r="Y157" s="94"/>
      <ns0:c r="Z157" s="94"/>
    </ns0:row>
    <ns0:row r="158" ht="100" customHeight="1">
      <ns0:c r="A158" s="79" t="str">
        <ns0:v>P15.01</ns0:v>
      </ns0:c>
      <ns0:c r="B158" s="79" t="n">
        <ns0:v>2</ns0:v>
      </ns0:c>
      <ns0:c r="C158" s="79" t="str">
        <ns0:v>Aceptación y documentación: Ejecutar regresión completa y corregir incidencias</ns0:v>
      </ns0:c>
      <ns0:c r="D158" s="79" t="str">
        <ns0:v>DOC21</ns0:v>
      </ns0:c>
      <ns0:c r="E158" s="79" t="str">
        <ns0:v>P14.02, P14.03, P14.04, P14.05, P14.06</ns0:v>
      </ns0:c>
      <ns0:c r="F158" s="79" t="n">
        <ns0:v>1</ns0:v>
      </ns0:c>
      <ns0:c r="G158" s="79" t="str">
        <ns0:v>Pendiente</ns0:v>
      </ns0:c>
      <ns0:c r="H158" s="97" t="str">
        <ns0:v>Iñigo</ns0:v>
      </ns0:c>
      <ns0:c r="I158" s="98" t="n">
        <ns0:v>8</ns0:v>
      </ns0:c>
      <ns0:c r="J158" s="98" t="n">
        <ns0:v>8</ns0:v>
      </ns0:c>
      <ns0:c r="K158" s="98"/>
      <ns0:c r="L158" s="99"/>
      <ns0:c r="M158" s="99"/>
      <ns0:c r="N158" s="99"/>
      <ns0:c r="O158" s="99"/>
      <ns0:c r="P158" s="79" t="str">
        <ns0:f>IF(K158="","",K158-I158)</ns0:f>
      </ns0:c>
      <ns0:c r="Q158" s="79" t="str">
        <ns0:f>IF(OR(L158="",M158=""),"",M158-L158)</ns0:f>
      </ns0:c>
      <ns0:c r="R158" s="79" t="str">
        <ns0:f>IF(OR(N158="",O158=""),"",O158-N158)</ns0:f>
      </ns0:c>
      <ns0:c r="S158" s="79" t="str">
        <ns0:v>Rojo: caso que demuestre el fallo del criterio. Verde: implementar y ejecutar la prueba. Refactorizar sin perder el verde. Unitarias de reglas e integración donde corresponda.</ns0:v>
      </ns0:c>
      <ns0:c r="T158" s="79" t="str">
        <ns0:v>Unitarias, integración y E2E en verde; cada incidencia se reproduce con prueba roja antes de corregir.</ns0:v>
      </ns0:c>
      <ns0:c r="U158" s="79" t="str">
        <ns0:v>Word 21. Referencia del plan anterior: P15.01.</ns0:v>
      </ns0:c>
      <ns0:c r="V158" s="79" t="str">
        <ns0:f>IF(OR(G158="Implementada",G158="Reportada"),IF(OR(K158="",M158="",O158=""),"Faltan datos reales","Completo"),IF(G158="Parcial",IF(OR(K158="",M158=""),"Faltan horas/inicio","En curso"),"Pendiente"))</ns0:f>
        <ns0:v>Pendiente</ns0:v>
      </ns0:c>
      <ns0:c r="W158" s="79" t="str">
        <ns0:v>Regresión completa en verde.</ns0:v>
      </ns0:c>
      <ns0:c r="X158" s="79"/>
      <ns0:c r="Y158" s="79" t="str">
        <ns0:v>Pendiente: sin implementación atribuible.</ns0:v>
      </ns0:c>
      <ns0:c r="Z158" s="79" t="str">
        <ns0:v>Evidencias Git, fila 90</ns0:v>
      </ns0:c>
    </ns0:row>
    <ns0:row r="159" ht="100" customHeight="1">
      <ns0:c r="A159" s="79" t="str">
        <ns0:v>P15.02</ns0:v>
      </ns0:c>
      <ns0:c r="B159" s="79" t="n">
        <ns0:v>2</ns0:v>
      </ns0:c>
      <ns0:c r="C159" s="79" t="str">
        <ns0:v>Aceptación y documentación: Validar requisitos con usuario y preparar demostración</ns0:v>
      </ns0:c>
      <ns0:c r="D159" s="79" t="str">
        <ns0:v>DOC21</ns0:v>
      </ns0:c>
      <ns0:c r="E159" s="79" t="str">
        <ns0:v>P15.01</ns0:v>
      </ns0:c>
      <ns0:c r="F159" s="79" t="n">
        <ns0:v>2</ns0:v>
      </ns0:c>
      <ns0:c r="G159" s="79" t="str">
        <ns0:v>Pendiente</ns0:v>
      </ns0:c>
      <ns0:c r="H159" s="97" t="str">
        <ns0:v>Alvaro</ns0:v>
      </ns0:c>
      <ns0:c r="I159" s="98" t="n">
        <ns0:v>6</ns0:v>
      </ns0:c>
      <ns0:c r="J159" s="98" t="n">
        <ns0:v>6</ns0:v>
      </ns0:c>
      <ns0:c r="K159" s="98"/>
      <ns0:c r="L159" s="99"/>
      <ns0:c r="M159" s="99"/>
      <ns0:c r="N159" s="99"/>
      <ns0:c r="O159" s="99"/>
      <ns0:c r="P159" s="79" t="str">
        <ns0:f>IF(K159="","",K159-I159)</ns0:f>
      </ns0:c>
      <ns0:c r="Q159" s="79" t="str">
        <ns0:f>IF(OR(L159="",M159=""),"",M159-L159)</ns0:f>
      </ns0:c>
      <ns0:c r="R159" s="79" t="str">
        <ns0:f>IF(OR(N159="",O159=""),"",O159-N159)</ns0:f>
      </ns0:c>
      <ns0:c r="S159" s="79" t="str">
        <ns0:v>Preparación, aceptación o documentación: comprobar el criterio de cierre. No forzar TDD sobre instalación o documentación.</ns0:v>
      </ns0:c>
      <ns0:c r="T159" s="79" t="str">
        <ns0:v>Demostrar registro, navegación, publicación, búsqueda, coincidencias, reclamación, chat y devolución sin fallos críticos.</ns0:v>
      </ns0:c>
      <ns0:c r="U159" s="79" t="str">
        <ns0:v>Word 21; tarjetas de aceptación. Referencia del plan anterior: P15.02.</ns0:v>
      </ns0:c>
      <ns0:c r="V159" s="79" t="str">
        <ns0:f>IF(OR(G159="Implementada",G159="Reportada"),IF(OR(K159="",M159="",O159=""),"Faltan datos reales","Completo"),IF(G159="Parcial",IF(OR(K159="",M159=""),"Faltan horas/inicio","En curso"),"Pendiente"))</ns0:f>
        <ns0:v>Pendiente</ns0:v>
      </ns0:c>
      <ns0:c r="W159" s="79" t="str">
        <ns0:v>Aceptación y demostración preparadas.</ns0:v>
      </ns0:c>
      <ns0:c r="X159" s="79"/>
      <ns0:c r="Y159" s="79" t="str">
        <ns0:v>Pendiente: sin implementación atribuible.</ns0:v>
      </ns0:c>
      <ns0:c r="Z159" s="79" t="str">
        <ns0:v>Evidencias Git, fila 91</ns0:v>
      </ns0:c>
    </ns0:row>
    <ns0:row r="160" ht="100" customHeight="1">
      <ns0:c r="A160" s="79" t="str">
        <ns0:v>P15.03</ns0:v>
      </ns0:c>
      <ns0:c r="B160" s="79" t="n">
        <ns0:v>2</ns0:v>
      </ns0:c>
      <ns0:c r="C160" s="79" t="str">
        <ns0:v>Aceptación y documentación: Cerrar manuales, trazabilidad y entrega reproducible</ns0:v>
      </ns0:c>
      <ns0:c r="D160" s="79" t="str">
        <ns0:v>DOC21</ns0:v>
      </ns0:c>
      <ns0:c r="E160" s="79" t="str">
        <ns0:v>P15.02</ns0:v>
      </ns0:c>
      <ns0:c r="F160" s="79" t="n">
        <ns0:v>3</ns0:v>
      </ns0:c>
      <ns0:c r="G160" s="79" t="str">
        <ns0:v>Pendiente</ns0:v>
      </ns0:c>
      <ns0:c r="H160" s="97" t="str">
        <ns0:v>Alejandro</ns0:v>
      </ns0:c>
      <ns0:c r="I160" s="98" t="n">
        <ns0:v>4</ns0:v>
      </ns0:c>
      <ns0:c r="J160" s="98" t="n">
        <ns0:v>4</ns0:v>
      </ns0:c>
      <ns0:c r="K160" s="98"/>
      <ns0:c r="L160" s="99"/>
      <ns0:c r="M160" s="99"/>
      <ns0:c r="N160" s="99"/>
      <ns0:c r="O160" s="99"/>
      <ns0:c r="P160" s="79" t="str">
        <ns0:f>IF(K160="","",K160-I160)</ns0:f>
      </ns0:c>
      <ns0:c r="Q160" s="79" t="str">
        <ns0:f>IF(OR(L160="",M160=""),"",M160-L160)</ns0:f>
      </ns0:c>
      <ns0:c r="R160" s="79" t="str">
        <ns0:f>IF(OR(N160="",O160=""),"",O160-N160)</ns0:f>
      </ns0:c>
      <ns0:c r="S160" s="79" t="str">
        <ns0:v>Preparación, aceptación o documentación: comprobar el criterio de cierre. No forzar TDD sobre instalación o documentación.</ns0:v>
      </ns0:c>
      <ns0:c r="T160" s="79" t="str">
        <ns0:v>Versiones, instalación, pruebas, requisitos y tareas coherentes; horas y fechas reales reportadas antes del push.</ns0:v>
      </ns0:c>
      <ns0:c r="U160" s="79" t="str">
        <ns0:v>Entrega de clase local; hosting/producción no definido en el alcance actual. Referencia del plan anterior: P15.03.</ns0:v>
      </ns0:c>
      <ns0:c r="V160" s="79" t="str">
        <ns0:f>IF(OR(G160="Implementada",G160="Reportada"),IF(OR(K160="",M160="",O160=""),"Faltan datos reales","Completo"),IF(G160="Parcial",IF(OR(K160="",M160=""),"Faltan horas/inicio","En curso"),"Pendiente"))</ns0:f>
        <ns0:v>Pendiente</ns0:v>
      </ns0:c>
      <ns0:c r="W160" s="79" t="str">
        <ns0:v>Documentación y entrega reproducible cerradas.</ns0:v>
      </ns0:c>
      <ns0:c r="X160" s="79"/>
      <ns0:c r="Y160" s="79" t="str">
        <ns0:v>Pendiente: sin implementación atribuible.</ns0:v>
      </ns0:c>
      <ns0:c r="Z160" s="79" t="str">
        <ns0:v>Evidencias Git, fila 92</ns0:v>
      </ns0:c>
    </ns0:row>
  </ns0:sheetData>
  <ns0:dataValidations count="139">
    <ns0:dataValidation type="list" sqref="H14">
      <ns0:formula1>"Alvaro,Jorge,Iñigo,Gonzalo,Alejandro,Jesús"</ns0:formula1>
    </ns0:dataValidation>
    <ns0:dataValidation type="list" sqref="H15">
      <ns0:formula1>"Alvaro,Jorge,Iñigo,Gonzalo,Alejandro,Jesús"</ns0:formula1>
    </ns0:dataValidation>
    <ns0:dataValidation type="list" sqref="H16">
      <ns0:formula1>"Alvaro,Jorge,Iñigo,Gonzalo,Alejandro,Jesús"</ns0:formula1>
    </ns0:dataValidation>
    <ns0:dataValidation type="list" sqref="H17">
      <ns0:formula1>"Alvaro,Jorge,Iñigo,Gonzalo,Alejandro,Jesús"</ns0:formula1>
    </ns0:dataValidation>
    <ns0:dataValidation type="list" sqref="H18">
      <ns0:formula1>"Alvaro,Jorge,Iñigo,Gonzalo,Alejandro,Jesús"</ns0:formula1>
    </ns0:dataValidation>
    <ns0:dataValidation type="list" sqref="H19">
      <ns0:formula1>"Alvaro,Jorge,Iñigo,Gonzalo,Alejandro,Jesús"</ns0:formula1>
    </ns0:dataValidation>
    <ns0:dataValidation type="list" sqref="H8">
      <ns0:formula1>"Alvaro,Jorge,Iñigo,Gonzalo,Alejandro,Jesús"</ns0:formula1>
    </ns0:dataValidation>
    <ns0:dataValidation type="list" sqref="H9">
      <ns0:formula1>"Alvaro,Jorge,Iñigo,Gonzalo,Alejandro,Jesús"</ns0:formula1>
    </ns0:dataValidation>
    <ns0:dataValidation type="list" sqref="H10">
      <ns0:formula1>"Alvaro,Jorge,Iñigo,Gonzalo,Alejandro,Jesús"</ns0:formula1>
    </ns0:dataValidation>
    <ns0:dataValidation type="list" sqref="H11">
      <ns0:formula1>"Alvaro,Jorge,Iñigo,Gonzalo,Alejandro,Jesús"</ns0:formula1>
    </ns0:dataValidation>
    <ns0:dataValidation type="list" sqref="H12">
      <ns0:formula1>"Alvaro,Jorge,Iñigo,Gonzalo,Alejandro,Jesús"</ns0:formula1>
    </ns0:dataValidation>
    <ns0:dataValidation type="list" sqref="H13">
      <ns0:formula1>"Alvaro,Jorge,Iñigo,Gonzalo,Alejandro,Jesús"</ns0:formula1>
    </ns0:dataValidation>
    <ns0:dataValidation type="list" sqref="H21">
      <ns0:formula1>"Alvaro,Jorge,Iñigo,Gonzalo,Alejandro,Jesús"</ns0:formula1>
    </ns0:dataValidation>
    <ns0:dataValidation type="list" sqref="H22">
      <ns0:formula1>"Alvaro,Jorge,Iñigo,Gonzalo,Alejandro,Jesús"</ns0:formula1>
    </ns0:dataValidation>
    <ns0:dataValidation type="list" sqref="H23">
      <ns0:formula1>"Alvaro,Jorge,Iñigo,Gonzalo,Alejandro,Jesús"</ns0:formula1>
    </ns0:dataValidation>
    <ns0:dataValidation type="list" sqref="H24">
      <ns0:formula1>"Alvaro,Jorge,Iñigo,Gonzalo,Alejandro,Jesús"</ns0:formula1>
    </ns0:dataValidation>
    <ns0:dataValidation type="list" sqref="H25">
      <ns0:formula1>"Alvaro,Jorge,Iñigo,Gonzalo,Alejandro,Jesús"</ns0:formula1>
    </ns0:dataValidation>
    <ns0:dataValidation type="list" sqref="H26">
      <ns0:formula1>"Alvaro,Jorge,Iñigo,Gonzalo,Alejandro,Jesús"</ns0:formula1>
    </ns0:dataValidation>
    <ns0:dataValidation type="list" sqref="H27">
      <ns0:formula1>"Alvaro,Jorge,Iñigo,Gonzalo,Alejandro,Jesús"</ns0:formula1>
    </ns0:dataValidation>
    <ns0:dataValidation type="list" sqref="H28">
      <ns0:formula1>"Alvaro,Jorge,Iñigo,Gonzalo,Alejandro,Jesús"</ns0:formula1>
    </ns0:dataValidation>
    <ns0:dataValidation type="list" sqref="H29">
      <ns0:formula1>"Alvaro,Jorge,Iñigo,Gonzalo,Alejandro,Jesús"</ns0:formula1>
    </ns0:dataValidation>
    <ns0:dataValidation type="list" sqref="H30">
      <ns0:formula1>"Alvaro,Jorge,Iñigo,Gonzalo,Alejandro,Jesús"</ns0:formula1>
    </ns0:dataValidation>
    <ns0:dataValidation type="list" sqref="H31">
      <ns0:formula1>"Alvaro,Jorge,Iñigo,Gonzalo,Alejandro,Jesús"</ns0:formula1>
    </ns0:dataValidation>
    <ns0:dataValidation type="list" sqref="H33">
      <ns0:formula1>"Alvaro,Jorge,Iñigo,Gonzalo,Alejandro,Jesús"</ns0:formula1>
    </ns0:dataValidation>
    <ns0:dataValidation type="list" sqref="H34">
      <ns0:formula1>"Alvaro,Jorge,Iñigo,Gonzalo,Alejandro,Jesús"</ns0:formula1>
    </ns0:dataValidation>
    <ns0:dataValidation type="list" sqref="H35">
      <ns0:formula1>"Alvaro,Jorge,Iñigo,Gonzalo,Alejandro,Jesús"</ns0:formula1>
    </ns0:dataValidation>
    <ns0:dataValidation type="list" sqref="H37">
      <ns0:formula1>"Alvaro,Jorge,Iñigo,Gonzalo,Alejandro,Jesús"</ns0:formula1>
    </ns0:dataValidation>
    <ns0:dataValidation type="list" sqref="H38">
      <ns0:formula1>"Alvaro,Jorge,Iñigo,Gonzalo,Alejandro,Jesús"</ns0:formula1>
    </ns0:dataValidation>
    <ns0:dataValidation type="list" sqref="H39">
      <ns0:formula1>"Alvaro,Jorge,Iñigo,Gonzalo,Alejandro,Jesús"</ns0:formula1>
    </ns0:dataValidation>
    <ns0:dataValidation type="list" sqref="H40">
      <ns0:formula1>"Alvaro,Jorge,Iñigo,Gonzalo,Alejandro,Jesús"</ns0:formula1>
    </ns0:dataValidation>
    <ns0:dataValidation type="list" sqref="H41">
      <ns0:formula1>"Alvaro,Jorge,Iñigo,Gonzalo,Alejandro,Jesús"</ns0:formula1>
    </ns0:dataValidation>
    <ns0:dataValidation type="list" sqref="H42">
      <ns0:formula1>"Alvaro,Jorge,Iñigo,Gonzalo,Alejandro,Jesús"</ns0:formula1>
    </ns0:dataValidation>
    <ns0:dataValidation type="list" sqref="H43">
      <ns0:formula1>"Alvaro,Jorge,Iñigo,Gonzalo,Alejandro,Jesús"</ns0:formula1>
    </ns0:dataValidation>
    <ns0:dataValidation type="list" sqref="H44">
      <ns0:formula1>"Alvaro,Jorge,Iñigo,Gonzalo,Alejandro,Jesús"</ns0:formula1>
    </ns0:dataValidation>
    <ns0:dataValidation type="list" sqref="H45">
      <ns0:formula1>"Alvaro,Jorge,Iñigo,Gonzalo,Alejandro,Jesús"</ns0:formula1>
    </ns0:dataValidation>
    <ns0:dataValidation type="list" sqref="H46">
      <ns0:formula1>"Alvaro,Jorge,Iñigo,Gonzalo,Alejandro,Jesús"</ns0:formula1>
    </ns0:dataValidation>
    <ns0:dataValidation type="list" sqref="H47">
      <ns0:formula1>"Alvaro,Jorge,Iñigo,Gonzalo,Alejandro,Jesús"</ns0:formula1>
    </ns0:dataValidation>
    <ns0:dataValidation type="list" sqref="H48">
      <ns0:formula1>"Alvaro,Jorge,Iñigo,Gonzalo,Alejandro,Jesús"</ns0:formula1>
    </ns0:dataValidation>
    <ns0:dataValidation type="list" sqref="H49">
      <ns0:formula1>"Alvaro,Jorge,Iñigo,Gonzalo,Alejandro,Jesús"</ns0:formula1>
    </ns0:dataValidation>
    <ns0:dataValidation type="list" sqref="H50">
      <ns0:formula1>"Alvaro,Jorge,Iñigo,Gonzalo,Alejandro,Jesús"</ns0:formula1>
    </ns0:dataValidation>
    <ns0:dataValidation type="list" sqref="H51">
      <ns0:formula1>"Alvaro,Jorge,Iñigo,Gonzalo,Alejandro,Jesús"</ns0:formula1>
    </ns0:dataValidation>
    <ns0:dataValidation type="list" sqref="H52">
      <ns0:formula1>"Alvaro,Jorge,Iñigo,Gonzalo,Alejandro,Jesús"</ns0:formula1>
    </ns0:dataValidation>
    <ns0:dataValidation type="list" sqref="H53">
      <ns0:formula1>"Alvaro,Jorge,Iñigo,Gonzalo,Alejandro,Jesús"</ns0:formula1>
    </ns0:dataValidation>
    <ns0:dataValidation type="list" sqref="H54">
      <ns0:formula1>"Alvaro,Jorge,Iñigo,Gonzalo,Alejandro,Jesús"</ns0:formula1>
    </ns0:dataValidation>
    <ns0:dataValidation type="list" sqref="H56">
      <ns0:formula1>"Alvaro,Jorge,Iñigo,Gonzalo,Alejandro,Jesús"</ns0:formula1>
    </ns0:dataValidation>
    <ns0:dataValidation type="list" sqref="H57">
      <ns0:formula1>"Alvaro,Jorge,Iñigo,Gonzalo,Alejandro,Jesús"</ns0:formula1>
    </ns0:dataValidation>
    <ns0:dataValidation type="list" sqref="H58">
      <ns0:formula1>"Alvaro,Jorge,Iñigo,Gonzalo,Alejandro,Jesús"</ns0:formula1>
    </ns0:dataValidation>
    <ns0:dataValidation type="list" sqref="H59">
      <ns0:formula1>"Alvaro,Jorge,Iñigo,Gonzalo,Alejandro,Jesús"</ns0:formula1>
    </ns0:dataValidation>
    <ns0:dataValidation type="list" sqref="H60">
      <ns0:formula1>"Alvaro,Jorge,Iñigo,Gonzalo,Alejandro,Jesús"</ns0:formula1>
    </ns0:dataValidation>
    <ns0:dataValidation type="list" sqref="H61">
      <ns0:formula1>"Alvaro,Jorge,Iñigo,Gonzalo,Alejandro,Jesús"</ns0:formula1>
    </ns0:dataValidation>
    <ns0:dataValidation type="list" sqref="H62">
      <ns0:formula1>"Alvaro,Jorge,Iñigo,Gonzalo,Alejandro,Jesús"</ns0:formula1>
    </ns0:dataValidation>
    <ns0:dataValidation type="list" sqref="H64">
      <ns0:formula1>"Alvaro,Jorge,Iñigo,Gonzalo,Alejandro,Jesús"</ns0:formula1>
    </ns0:dataValidation>
    <ns0:dataValidation type="list" sqref="H65">
      <ns0:formula1>"Alvaro,Jorge,Iñigo,Gonzalo,Alejandro,Jesús"</ns0:formula1>
    </ns0:dataValidation>
    <ns0:dataValidation type="list" sqref="H66">
      <ns0:formula1>"Alvaro,Jorge,Iñigo,Gonzalo,Alejandro,Jesús"</ns0:formula1>
    </ns0:dataValidation>
    <ns0:dataValidation type="list" sqref="H67">
      <ns0:formula1>"Alvaro,Jorge,Iñigo,Gonzalo,Alejandro,Jesús"</ns0:formula1>
    </ns0:dataValidation>
    <ns0:dataValidation type="list" sqref="H68">
      <ns0:formula1>"Alvaro,Jorge,Iñigo,Gonzalo,Alejandro,Jesús"</ns0:formula1>
    </ns0:dataValidation>
    <ns0:dataValidation type="list" sqref="H69">
      <ns0:formula1>"Alvaro,Jorge,Iñigo,Gonzalo,Alejandro,Jesús"</ns0:formula1>
    </ns0:dataValidation>
    <ns0:dataValidation type="list" sqref="H70">
      <ns0:formula1>"Alvaro,Jorge,Iñigo,Gonzalo,Alejandro,Jesús"</ns0:formula1>
    </ns0:dataValidation>
    <ns0:dataValidation type="list" sqref="H71">
      <ns0:formula1>"Alvaro,Jorge,Iñigo,Gonzalo,Alejandro,Jesús"</ns0:formula1>
    </ns0:dataValidation>
    <ns0:dataValidation type="list" sqref="H72">
      <ns0:formula1>"Alvaro,Jorge,Iñigo,Gonzalo,Alejandro,Jesús"</ns0:formula1>
    </ns0:dataValidation>
    <ns0:dataValidation type="list" sqref="H73">
      <ns0:formula1>"Alvaro,Jorge,Iñigo,Gonzalo,Alejandro,Jesús"</ns0:formula1>
    </ns0:dataValidation>
    <ns0:dataValidation type="list" sqref="H74">
      <ns0:formula1>"Alvaro,Jorge,Iñigo,Gonzalo,Alejandro,Jesús"</ns0:formula1>
    </ns0:dataValidation>
    <ns0:dataValidation type="list" sqref="H75">
      <ns0:formula1>"Alvaro,Jorge,Iñigo,Gonzalo,Alejandro,Jesús"</ns0:formula1>
    </ns0:dataValidation>
    <ns0:dataValidation type="list" sqref="H76">
      <ns0:formula1>"Alvaro,Jorge,Iñigo,Gonzalo,Alejandro,Jesús"</ns0:formula1>
    </ns0:dataValidation>
    <ns0:dataValidation type="list" sqref="H77">
      <ns0:formula1>"Alvaro,Jorge,Iñigo,Gonzalo,Alejandro,Jesús"</ns0:formula1>
    </ns0:dataValidation>
    <ns0:dataValidation type="list" sqref="H78">
      <ns0:formula1>"Alvaro,Jorge,Iñigo,Gonzalo,Alejandro,Jesús"</ns0:formula1>
    </ns0:dataValidation>
    <ns0:dataValidation type="list" sqref="H80">
      <ns0:formula1>"Alvaro,Jorge,Iñigo,Gonzalo,Alejandro,Jesús"</ns0:formula1>
    </ns0:dataValidation>
    <ns0:dataValidation type="list" sqref="H81">
      <ns0:formula1>"Alvaro,Jorge,Iñigo,Gonzalo,Alejandro,Jesús"</ns0:formula1>
    </ns0:dataValidation>
    <ns0:dataValidation type="list" sqref="H82">
      <ns0:formula1>"Alvaro,Jorge,Iñigo,Gonzalo,Alejandro,Jesús"</ns0:formula1>
    </ns0:dataValidation>
    <ns0:dataValidation type="list" sqref="H83">
      <ns0:formula1>"Alvaro,Jorge,Iñigo,Gonzalo,Alejandro,Jesús"</ns0:formula1>
    </ns0:dataValidation>
    <ns0:dataValidation type="list" sqref="H84">
      <ns0:formula1>"Alvaro,Jorge,Iñigo,Gonzalo,Alejandro,Jesús"</ns0:formula1>
    </ns0:dataValidation>
    <ns0:dataValidation type="list" sqref="H85">
      <ns0:formula1>"Alvaro,Jorge,Iñigo,Gonzalo,Alejandro,Jesús"</ns0:formula1>
    </ns0:dataValidation>
    <ns0:dataValidation type="list" sqref="H86">
      <ns0:formula1>"Alvaro,Jorge,Iñigo,Gonzalo,Alejandro,Jesús"</ns0:formula1>
    </ns0:dataValidation>
    <ns0:dataValidation type="list" sqref="H87">
      <ns0:formula1>"Alvaro,Jorge,Iñigo,Gonzalo,Alejandro,Jesús"</ns0:formula1>
    </ns0:dataValidation>
    <ns0:dataValidation type="list" sqref="H88">
      <ns0:formula1>"Alvaro,Jorge,Iñigo,Gonzalo,Alejandro,Jesús"</ns0:formula1>
    </ns0:dataValidation>
    <ns0:dataValidation type="list" sqref="H89">
      <ns0:formula1>"Alvaro,Jorge,Iñigo,Gonzalo,Alejandro,Jesús"</ns0:formula1>
    </ns0:dataValidation>
    <ns0:dataValidation type="list" sqref="H90">
      <ns0:formula1>"Alvaro,Jorge,Iñigo,Gonzalo,Alejandro,Jesús"</ns0:formula1>
    </ns0:dataValidation>
    <ns0:dataValidation type="list" sqref="H91">
      <ns0:formula1>"Alvaro,Jorge,Iñigo,Gonzalo,Alejandro,Jesús"</ns0:formula1>
    </ns0:dataValidation>
    <ns0:dataValidation type="list" sqref="H92">
      <ns0:formula1>"Alvaro,Jorge,Iñigo,Gonzalo,Alejandro,Jesús"</ns0:formula1>
    </ns0:dataValidation>
    <ns0:dataValidation type="list" sqref="H93">
      <ns0:formula1>"Alvaro,Jorge,Iñigo,Gonzalo,Alejandro,Jesús"</ns0:formula1>
    </ns0:dataValidation>
    <ns0:dataValidation type="list" sqref="H94">
      <ns0:formula1>"Alvaro,Jorge,Iñigo,Gonzalo,Alejandro,Jesús"</ns0:formula1>
    </ns0:dataValidation>
    <ns0:dataValidation type="list" sqref="H95">
      <ns0:formula1>"Alvaro,Jorge,Iñigo,Gonzalo,Alejandro,Jesús"</ns0:formula1>
    </ns0:dataValidation>
    <ns0:dataValidation type="list" sqref="H96">
      <ns0:formula1>"Alvaro,Jorge,Iñigo,Gonzalo,Alejandro,Jesús"</ns0:formula1>
    </ns0:dataValidation>
    <ns0:dataValidation type="list" sqref="H97">
      <ns0:formula1>"Alvaro,Jorge,Iñigo,Gonzalo,Alejandro,Jesús"</ns0:formula1>
    </ns0:dataValidation>
    <ns0:dataValidation type="list" sqref="H99">
      <ns0:formula1>"Alvaro,Jorge,Iñigo,Gonzalo,Alejandro,Jesús"</ns0:formula1>
    </ns0:dataValidation>
    <ns0:dataValidation type="list" sqref="H100">
      <ns0:formula1>"Alvaro,Jorge,Iñigo,Gonzalo,Alejandro,Jesús"</ns0:formula1>
    </ns0:dataValidation>
    <ns0:dataValidation type="list" sqref="H101">
      <ns0:formula1>"Alvaro,Jorge,Iñigo,Gonzalo,Alejandro,Jesús"</ns0:formula1>
    </ns0:dataValidation>
    <ns0:dataValidation type="list" sqref="H102">
      <ns0:formula1>"Alvaro,Jorge,Iñigo,Gonzalo,Alejandro,Jesús"</ns0:formula1>
    </ns0:dataValidation>
    <ns0:dataValidation type="list" sqref="H103">
      <ns0:formula1>"Alvaro,Jorge,Iñigo,Gonzalo,Alejandro,Jesús"</ns0:formula1>
    </ns0:dataValidation>
    <ns0:dataValidation type="list" sqref="H104">
      <ns0:formula1>"Alvaro,Jorge,Iñigo,Gonzalo,Alejandro,Jesús"</ns0:formula1>
    </ns0:dataValidation>
    <ns0:dataValidation type="list" sqref="H105">
      <ns0:formula1>"Alvaro,Jorge,Iñigo,Gonzalo,Alejandro,Jesús"</ns0:formula1>
    </ns0:dataValidation>
    <ns0:dataValidation type="list" sqref="H106">
      <ns0:formula1>"Alvaro,Jorge,Iñigo,Gonzalo,Alejandro,Jesús"</ns0:formula1>
    </ns0:dataValidation>
    <ns0:dataValidation type="list" sqref="H107">
      <ns0:formula1>"Alvaro,Jorge,Iñigo,Gonzalo,Alejandro,Jesús"</ns0:formula1>
    </ns0:dataValidation>
    <ns0:dataValidation type="list" sqref="H109">
      <ns0:formula1>"Alvaro,Jorge,Iñigo,Gonzalo,Alejandro,Jesús"</ns0:formula1>
    </ns0:dataValidation>
    <ns0:dataValidation type="list" sqref="H110">
      <ns0:formula1>"Alvaro,Jorge,Iñigo,Gonzalo,Alejandro,Jesús"</ns0:formula1>
    </ns0:dataValidation>
    <ns0:dataValidation type="list" sqref="H111">
      <ns0:formula1>"Alvaro,Jorge,Iñigo,Gonzalo,Alejandro,Jesús"</ns0:formula1>
    </ns0:dataValidation>
    <ns0:dataValidation type="list" sqref="H112">
      <ns0:formula1>"Alvaro,Jorge,Iñigo,Gonzalo,Alejandro,Jesús"</ns0:formula1>
    </ns0:dataValidation>
    <ns0:dataValidation type="list" sqref="H113">
      <ns0:formula1>"Alvaro,Jorge,Iñigo,Gonzalo,Alejandro,Jesús"</ns0:formula1>
    </ns0:dataValidation>
    <ns0:dataValidation type="list" sqref="H114">
      <ns0:formula1>"Alvaro,Jorge,Iñigo,Gonzalo,Alejandro,Jesús"</ns0:formula1>
    </ns0:dataValidation>
    <ns0:dataValidation type="list" sqref="H115">
      <ns0:formula1>"Alvaro,Jorge,Iñigo,Gonzalo,Alejandro,Jesús"</ns0:formula1>
    </ns0:dataValidation>
    <ns0:dataValidation type="list" sqref="H116">
      <ns0:formula1>"Alvaro,Jorge,Iñigo,Gonzalo,Alejandro,Jesús"</ns0:formula1>
    </ns0:dataValidation>
    <ns0:dataValidation type="list" sqref="H117">
      <ns0:formula1>"Alvaro,Jorge,Iñigo,Gonzalo,Alejandro,Jesús"</ns0:formula1>
    </ns0:dataValidation>
    <ns0:dataValidation type="list" sqref="H118">
      <ns0:formula1>"Alvaro,Jorge,Iñigo,Gonzalo,Alejandro,Jesús"</ns0:formula1>
    </ns0:dataValidation>
    <ns0:dataValidation type="list" sqref="H120">
      <ns0:formula1>"Alvaro,Jorge,Iñigo,Gonzalo,Alejandro,Jesús"</ns0:formula1>
    </ns0:dataValidation>
    <ns0:dataValidation type="list" sqref="H121">
      <ns0:formula1>"Alvaro,Jorge,Iñigo,Gonzalo,Alejandro,Jesús"</ns0:formula1>
    </ns0:dataValidation>
    <ns0:dataValidation type="list" sqref="H122">
      <ns0:formula1>"Alvaro,Jorge,Iñigo,Gonzalo,Alejandro,Jesús"</ns0:formula1>
    </ns0:dataValidation>
    <ns0:dataValidation type="list" sqref="H123">
      <ns0:formula1>"Alvaro,Jorge,Iñigo,Gonzalo,Alejandro,Jesús"</ns0:formula1>
    </ns0:dataValidation>
    <ns0:dataValidation type="list" sqref="H124">
      <ns0:formula1>"Alvaro,Jorge,Iñigo,Gonzalo,Alejandro,Jesús"</ns0:formula1>
    </ns0:dataValidation>
    <ns0:dataValidation type="list" sqref="H125">
      <ns0:formula1>"Alvaro,Jorge,Iñigo,Gonzalo,Alejandro,Jesús"</ns0:formula1>
    </ns0:dataValidation>
    <ns0:dataValidation type="list" sqref="H126">
      <ns0:formula1>"Alvaro,Jorge,Iñigo,Gonzalo,Alejandro,Jesús"</ns0:formula1>
    </ns0:dataValidation>
    <ns0:dataValidation type="list" sqref="H127">
      <ns0:formula1>"Alvaro,Jorge,Iñigo,Gonzalo,Alejandro,Jesús"</ns0:formula1>
    </ns0:dataValidation>
    <ns0:dataValidation type="list" sqref="H128">
      <ns0:formula1>"Alvaro,Jorge,Iñigo,Gonzalo,Alejandro,Jesús"</ns0:formula1>
    </ns0:dataValidation>
    <ns0:dataValidation type="list" sqref="H129">
      <ns0:formula1>"Alvaro,Jorge,Iñigo,Gonzalo,Alejandro,Jesús"</ns0:formula1>
    </ns0:dataValidation>
    <ns0:dataValidation type="list" sqref="H131">
      <ns0:formula1>"Alvaro,Jorge,Iñigo,Gonzalo,Alejandro,Jesús"</ns0:formula1>
    </ns0:dataValidation>
    <ns0:dataValidation type="list" sqref="H132">
      <ns0:formula1>"Alvaro,Jorge,Iñigo,Gonzalo,Alejandro,Jesús"</ns0:formula1>
    </ns0:dataValidation>
    <ns0:dataValidation type="list" sqref="H133">
      <ns0:formula1>"Alvaro,Jorge,Iñigo,Gonzalo,Alejandro,Jesús"</ns0:formula1>
    </ns0:dataValidation>
    <ns0:dataValidation type="list" sqref="H134">
      <ns0:formula1>"Alvaro,Jorge,Iñigo,Gonzalo,Alejandro,Jesús"</ns0:formula1>
    </ns0:dataValidation>
    <ns0:dataValidation type="list" sqref="H135">
      <ns0:formula1>"Alvaro,Jorge,Iñigo,Gonzalo,Alejandro,Jesús"</ns0:formula1>
    </ns0:dataValidation>
    <ns0:dataValidation type="list" sqref="H136">
      <ns0:formula1>"Alvaro,Jorge,Iñigo,Gonzalo,Alejandro,Jesús"</ns0:formula1>
    </ns0:dataValidation>
    <ns0:dataValidation type="list" sqref="H138">
      <ns0:formula1>"Alvaro,Jorge,Iñigo,Gonzalo,Alejandro,Jesús"</ns0:formula1>
    </ns0:dataValidation>
    <ns0:dataValidation type="list" sqref="H139">
      <ns0:formula1>"Alvaro,Jorge,Iñigo,Gonzalo,Alejandro,Jesús"</ns0:formula1>
    </ns0:dataValidation>
    <ns0:dataValidation type="list" sqref="H140">
      <ns0:formula1>"Alvaro,Jorge,Iñigo,Gonzalo,Alejandro,Jesús"</ns0:formula1>
    </ns0:dataValidation>
    <ns0:dataValidation type="list" sqref="H141">
      <ns0:formula1>"Alvaro,Jorge,Iñigo,Gonzalo,Alejandro,Jesús"</ns0:formula1>
    </ns0:dataValidation>
    <ns0:dataValidation type="list" sqref="H142">
      <ns0:formula1>"Alvaro,Jorge,Iñigo,Gonzalo,Alejandro,Jesús"</ns0:formula1>
    </ns0:dataValidation>
    <ns0:dataValidation type="list" sqref="H143">
      <ns0:formula1>"Alvaro,Jorge,Iñigo,Gonzalo,Alejandro,Jesús"</ns0:formula1>
    </ns0:dataValidation>
    <ns0:dataValidation type="list" sqref="H145">
      <ns0:formula1>"Alvaro,Jorge,Iñigo,Gonzalo,Alejandro,Jesús"</ns0:formula1>
    </ns0:dataValidation>
    <ns0:dataValidation type="list" sqref="H146">
      <ns0:formula1>"Alvaro,Jorge,Iñigo,Gonzalo,Alejandro,Jesús"</ns0:formula1>
    </ns0:dataValidation>
    <ns0:dataValidation type="list" sqref="H147">
      <ns0:formula1>"Alvaro,Jorge,Iñigo,Gonzalo,Alejandro,Jesús"</ns0:formula1>
    </ns0:dataValidation>
    <ns0:dataValidation type="list" sqref="H148">
      <ns0:formula1>"Alvaro,Jorge,Iñigo,Gonzalo,Alejandro,Jesús"</ns0:formula1>
    </ns0:dataValidation>
    <ns0:dataValidation type="list" sqref="H149">
      <ns0:formula1>"Alvaro,Jorge,Iñigo,Gonzalo,Alejandro,Jesús"</ns0:formula1>
    </ns0:dataValidation>
    <ns0:dataValidation type="list" sqref="H151">
      <ns0:formula1>"Alvaro,Jorge,Iñigo,Gonzalo,Alejandro,Jesús"</ns0:formula1>
    </ns0:dataValidation>
    <ns0:dataValidation type="list" sqref="H152">
      <ns0:formula1>"Alvaro,Jorge,Iñigo,Gonzalo,Alejandro,Jesús"</ns0:formula1>
    </ns0:dataValidation>
    <ns0:dataValidation type="list" sqref="H153">
      <ns0:formula1>"Alvaro,Jorge,Iñigo,Gonzalo,Alejandro,Jesús"</ns0:formula1>
    </ns0:dataValidation>
    <ns0:dataValidation type="list" sqref="H154">
      <ns0:formula1>"Alvaro,Jorge,Iñigo,Gonzalo,Alejandro,Jesús"</ns0:formula1>
    </ns0:dataValidation>
    <ns0:dataValidation type="list" sqref="H155">
      <ns0:formula1>"Alvaro,Jorge,Iñigo,Gonzalo,Alejandro,Jesús"</ns0:formula1>
    </ns0:dataValidation>
    <ns0:dataValidation type="list" sqref="H156">
      <ns0:formula1>"Alvaro,Jorge,Iñigo,Gonzalo,Alejandro,Jesús"</ns0:formula1>
    </ns0:dataValidation>
    <ns0:dataValidation type="list" sqref="H158">
      <ns0:formula1>"Alvaro,Jorge,Iñigo,Gonzalo,Alejandro,Jesús"</ns0:formula1>
    </ns0:dataValidation>
    <ns0:dataValidation type="list" sqref="H159">
      <ns0:formula1>"Alvaro,Jorge,Iñigo,Gonzalo,Alejandro,Jesús"</ns0:formula1>
    </ns0:dataValidation>
    <ns0:dataValidation type="list" sqref="H160">
      <ns0:formula1>"Alvaro,Jorge,Iñigo,Gonzalo,Alejandro,Jesús"</ns0:formula1>
    </ns0:dataValidation>
  </ns0:dataValidations>
  <ns0:pageMargins left="0.7" right="0.7" top="0.75" bottom="0.75" header="0.3" footer="0.3"/>
</ns0:worksheet>
</file>

<file path=xl/worksheets/sheet3.xml><?xml version="1.0" encoding="utf-8"?>
<x:worksheet xmlns:x="http://schemas.openxmlformats.org/spreadsheetml/2006/main">
  <x:sheetFormatPr baseColWidth="10" defaultColWidth="9.140625" defaultRowHeight="15"/>
  <x:cols>
    <x:col min="1" max="1" width="46" customWidth="1"/>
    <x:col min="2" max="2" width="84.28515625" customWidth="1"/>
    <x:col min="3" max="3" width="35.28515625" customWidth="1"/>
    <x:col min="4" max="4" width="43.85546875" customWidth="1"/>
    <x:col min="5" max="5" width="35.5703125" customWidth="1"/>
    <x:col min="6" max="6" width="29" customWidth="1"/>
  </x:cols>
  <x:sheetData>
    <x:row r="1">
      <x:c r="A1" t="s">
        <x:v>151</x:v>
      </x:c>
      <x:c r="B1" t="s">
        <x:v>152</x:v>
      </x:c>
      <x:c r="C1" t="s">
        <x:v>153</x:v>
      </x:c>
      <x:c r="D1" t="s">
        <x:v>154</x:v>
      </x:c>
      <x:c r="E1" t="s">
        <x:v>155</x:v>
      </x:c>
      <x:c r="F1" t="s">
        <x:v>156</x:v>
      </x:c>
    </x:row>
    <x:row r="2">
      <x:c r="A2" t="s">
        <x:v>157</x:v>
      </x:c>
      <x:c r="B2" t="s">
        <x:v>158</x:v>
      </x:c>
      <x:c r="C2" t="s">
        <x:v>159</x:v>
      </x:c>
      <x:c r="E2">
        <x:v>1</x:v>
      </x:c>
      <x:c r="F2">
        <x:v>1</x:v>
      </x:c>
    </x:row>
    <x:row r="3">
      <x:c r="B3" t="s">
        <x:v>160</x:v>
      </x:c>
      <x:c r="C3" t="s">
        <x:v>159</x:v>
      </x:c>
      <x:c r="E3">
        <x:v>1</x:v>
      </x:c>
      <x:c r="F3">
        <x:v>1</x:v>
      </x:c>
    </x:row>
    <x:row r="4">
      <x:c r="B4" t="s">
        <x:v>161</x:v>
      </x:c>
      <x:c r="C4" t="s">
        <x:v>159</x:v>
      </x:c>
      <x:c r="E4" t="s">
        <x:v>162</x:v>
      </x:c>
      <x:c r="F4">
        <x:v>1</x:v>
      </x:c>
    </x:row>
    <x:row r="5">
      <x:c r="B5" t="s">
        <x:v>163</x:v>
      </x:c>
      <x:c r="C5" t="s">
        <x:v>159</x:v>
      </x:c>
      <x:c r="E5">
        <x:v>1</x:v>
      </x:c>
      <x:c r="F5">
        <x:v>1</x:v>
      </x:c>
    </x:row>
    <x:row r="6">
      <x:c r="B6" t="s">
        <x:v>164</x:v>
      </x:c>
      <x:c r="C6" t="s">
        <x:v>159</x:v>
      </x:c>
      <x:c r="E6">
        <x:v>1</x:v>
      </x:c>
      <x:c r="F6">
        <x:v>1</x:v>
      </x:c>
    </x:row>
    <x:row r="9">
      <x:c r="A9" t="s">
        <x:v>20</x:v>
      </x:c>
      <x:c r="B9" t="s">
        <x:v>165</x:v>
      </x:c>
    </x:row>
    <x:row r="10">
      <x:c r="B10" t="s">
        <x:v>165</x:v>
      </x:c>
    </x:row>
    <x:row r="11">
      <x:c r="B11" t="s">
        <x:v>166</x:v>
      </x:c>
    </x:row>
    <x:row r="12">
      <x:c r="B12" t="s">
        <x:v>167</x:v>
      </x:c>
    </x:row>
    <x:row r="13">
      <x:c r="B13" t="s">
        <x:v>168</x:v>
      </x:c>
    </x:row>
    <x:row r="14">
      <x:c r="B14" t="s">
        <x:v>169</x:v>
      </x:c>
    </x:row>
    <x:row r="15">
      <x:c r="B15" t="s">
        <x:v>170</x:v>
      </x:c>
    </x:row>
    <x:row r="18">
      <x:c r="A18" t="s">
        <x:v>10</x:v>
      </x:c>
      <x:c r="B18" t="s">
        <x:v>171</x:v>
      </x:c>
      <x:c r="C18" t="s">
        <x:v>159</x:v>
      </x:c>
    </x:row>
    <x:row r="19">
      <x:c r="B19" t="s">
        <x:v>172</x:v>
      </x:c>
      <x:c r="C19" t="s">
        <x:v>159</x:v>
      </x:c>
    </x:row>
    <x:row r="20">
      <x:c r="B20" t="s">
        <x:v>173</x:v>
      </x:c>
      <x:c r="C20" t="s">
        <x:v>159</x:v>
      </x:c>
    </x:row>
    <x:row r="21">
      <x:c r="B21" t="s">
        <x:v>174</x:v>
      </x:c>
    </x:row>
    <x:row r="22">
      <x:c r="B22" t="s">
        <x:v>175</x:v>
      </x:c>
    </x:row>
    <x:row r="23">
      <x:c r="B23" t="s">
        <x:v>176</x:v>
      </x:c>
    </x:row>
    <x:row r="24">
      <x:c r="B24" t="s">
        <x:v>177</x:v>
      </x:c>
    </x:row>
    <x:row r="25">
      <x:c r="B25" t="s">
        <x:v>178</x:v>
      </x:c>
    </x:row>
    <x:row r="26">
      <x:c r="B26" t="s">
        <x:v>179</x:v>
      </x:c>
    </x:row>
    <x:row r="27">
      <x:c r="B27" t="s">
        <x:v>170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087F8C"/>
  </x:sheetPr>
  <x:sheetViews>
    <x:sheetView showGridLines="0" workbookViewId="0">
      <x:pane ySplit="6" topLeftCell="A7" activePane="bottomLeft" state="frozen"/>
    </x:sheetView>
  </x:sheetViews>
  <x:sheetFormatPr baseColWidth="10" defaultColWidth="9.140625" defaultRowHeight="15"/>
  <x:cols>
    <x:col min="1" max="1" width="20" customWidth="1"/>
    <x:col min="2" max="2" width="25" customWidth="1"/>
    <x:col min="3" max="3" width="24" customWidth="1"/>
    <x:col min="4" max="4" width="27" customWidth="1"/>
    <x:col min="5" max="5" width="25" customWidth="1"/>
  </x:cols>
  <x:sheetData>
    <x:row r="1" ht="21">
      <x:c r="A1" s="17" t="s">
        <x:v>180</x:v>
      </x:c>
    </x:row>
    <x:row r="2">
      <x:c r="A2" t="s">
        <x:v>181</x:v>
      </x:c>
    </x:row>
    <x:row r="6" ht="42" customHeight="1">
      <x:c r="A6" s="21" t="s">
        <x:v>182</x:v>
      </x:c>
      <x:c r="B6" s="21" t="s">
        <x:v>183</x:v>
      </x:c>
      <x:c r="C6" s="21" t="s">
        <x:v>134</x:v>
      </x:c>
      <x:c r="D6" s="21" t="s">
        <x:v>184</x:v>
      </x:c>
      <x:c r="E6" s="21" t="s">
        <x:v>185</x:v>
      </x:c>
    </x:row>
    <x:row r="7">
      <x:c r="A7" t="s">
        <x:v>186</x:v>
      </x:c>
      <x:c r="B7" t="n">
        <x:f>SUMIFS(Planning!I7:I160,Planning!B7:B160,2,Planning!H7:H160,A7)</x:f>
        <x:v>49.5</x:v>
      </x:c>
      <x:c r="C7" t="n">
        <x:f>SUMIFS(Planning!J7:J160,Planning!B7:B160,2,Planning!H7:H160,A7)</x:f>
        <x:v>49.5</x:v>
      </x:c>
      <x:c r="D7" t="n">
        <x:f>SUMIFS(Planning!K7:K160,Planning!B7:B160,2,Planning!H7:H160,A7)</x:f>
        <x:v>0</x:v>
      </x:c>
      <x:c r="E7" t="n">
        <x:f>COUNTIFS(Planning!B7:B160,2,Planning!H7:H160,A7,Planning!J7:J160,"&gt;0")</x:f>
        <x:v>20</x:v>
      </x:c>
    </x:row>
    <x:row r="8">
      <x:c r="A8" t="s">
        <x:v>187</x:v>
      </x:c>
      <x:c r="B8" t="n">
        <x:f>SUMIFS(Planning!I7:I160,Planning!B7:B160,2,Planning!H7:H160,A8)</x:f>
        <x:v>49.5</x:v>
      </x:c>
      <x:c r="C8" t="n">
        <x:f>SUMIFS(Planning!J7:J160,Planning!B7:B160,2,Planning!H7:H160,A8)</x:f>
        <x:v>49.5</x:v>
      </x:c>
      <x:c r="D8" t="n">
        <x:f>SUMIFS(Planning!K7:K160,Planning!B7:B160,2,Planning!H7:H160,A8)</x:f>
        <x:v>0</x:v>
      </x:c>
      <x:c r="E8" t="n">
        <x:f>COUNTIFS(Planning!B7:B160,2,Planning!H7:H160,A8,Planning!J7:J160,"&gt;0")</x:f>
        <x:v>20</x:v>
      </x:c>
    </x:row>
    <x:row r="9">
      <x:c r="A9" t="s">
        <x:v>188</x:v>
      </x:c>
      <x:c r="B9" t="n">
        <x:f>SUMIFS(Planning!I7:I160,Planning!B7:B160,2,Planning!H7:H160,A9)</x:f>
        <x:v>61</x:v>
      </x:c>
      <x:c r="C9" t="n">
        <x:f>SUMIFS(Planning!J7:J160,Planning!B7:B160,2,Planning!H7:H160,A9)</x:f>
        <x:v>49</x:v>
      </x:c>
      <x:c r="D9" t="n">
        <x:f>SUMIFS(Planning!K7:K160,Planning!B7:B160,2,Planning!H7:H160,A9)</x:f>
        <x:v>0</x:v>
      </x:c>
      <x:c r="E9" t="n">
        <x:f>COUNTIFS(Planning!B7:B160,2,Planning!H7:H160,A9,Planning!J7:J160,"&gt;0")</x:f>
        <x:v>20</x:v>
      </x:c>
    </x:row>
    <x:row r="10">
      <x:c r="A10" t="s">
        <x:v>189</x:v>
      </x:c>
      <x:c r="B10" t="n">
        <x:f>SUMIFS(Planning!I7:I160,Planning!B7:B160,2,Planning!H7:H160,A10)</x:f>
        <x:v>49</x:v>
      </x:c>
      <x:c r="C10" t="n">
        <x:f>SUMIFS(Planning!J7:J160,Planning!B7:B160,2,Planning!H7:H160,A10)</x:f>
        <x:v>49</x:v>
      </x:c>
      <x:c r="D10" t="n">
        <x:f>SUMIFS(Planning!K7:K160,Planning!B7:B160,2,Planning!H7:H160,A10)</x:f>
        <x:v>0</x:v>
      </x:c>
      <x:c r="E10" t="n">
        <x:f>COUNTIFS(Planning!B7:B160,2,Planning!H7:H160,A10,Planning!J7:J160,"&gt;0")</x:f>
        <x:v>20</x:v>
      </x:c>
    </x:row>
    <x:row r="11">
      <x:c r="A11" t="s">
        <x:v>190</x:v>
      </x:c>
      <x:c r="B11" t="n">
        <x:f>SUMIFS(Planning!I7:I160,Planning!B7:B160,2,Planning!H7:H160,A11)</x:f>
        <x:v>49</x:v>
      </x:c>
      <x:c r="C11" t="n">
        <x:f>SUMIFS(Planning!J7:J160,Planning!B7:B160,2,Planning!H7:H160,A11)</x:f>
        <x:v>49</x:v>
      </x:c>
      <x:c r="D11" t="n">
        <x:f>SUMIFS(Planning!K7:K160,Planning!B7:B160,2,Planning!H7:H160,A11)</x:f>
        <x:v>0</x:v>
      </x:c>
      <x:c r="E11" t="n">
        <x:f>COUNTIFS(Planning!B7:B160,2,Planning!H7:H160,A11,Planning!J7:J160,"&gt;0")</x:f>
        <x:v>20</x:v>
      </x:c>
    </x:row>
    <x:row r="12">
      <x:c r="A12" t="s">
        <x:v>159</x:v>
      </x:c>
      <x:c r="B12" t="n">
        <x:f>SUMIFS(Planning!I7:I160,Planning!B7:B160,2,Planning!H7:H160,A12)</x:f>
        <x:v>92.5</x:v>
      </x:c>
      <x:c r="C12" t="n">
        <x:f>SUMIFS(Planning!J7:J160,Planning!B7:B160,2,Planning!H7:H160,A12)</x:f>
        <x:v>49</x:v>
      </x:c>
      <x:c r="D12" t="n">
        <x:f>SUMIFS(Planning!K7:K160,Planning!B7:B160,2,Planning!H7:H160,A12)</x:f>
        <x:v>5</x:v>
      </x:c>
      <x:c r="E12" t="n">
        <x:f>COUNTIFS(Planning!B7:B160,2,Planning!H7:H160,A12,Planning!J7:J160,"&gt;0")</x:f>
        <x:v>19</x:v>
      </x:c>
    </x:row>
    <x:row r="13">
      <x:c r="A13" s="28" t="s">
        <x:v>191</x:v>
      </x:c>
      <x:c r="B13" s="28" t="n">
        <x:f>SUM(B7:B12)</x:f>
        <x:v>350.5</x:v>
      </x:c>
      <x:c r="C13" s="28" t="n">
        <x:f>SUM(C7:C12)</x:f>
        <x:v>295</x:v>
      </x:c>
      <x:c r="D13" s="28" t="n">
        <x:f>SUM(D7:D12)</x:f>
        <x:v>5</x:v>
      </x:c>
      <x:c r="E13" s="28" t="n">
        <x:f>SUM(E7:E12)</x:f>
        <x:v>119</x:v>
      </x:c>
    </x:row>
    <x:row r="16" ht="44.099998474121094" customHeight="1">
      <x:c r="A16" s="20" t="s">
        <x:v>192</x:v>
      </x:c>
      <x:c r="B16" s="76" t="s">
        <x:v>193</x:v>
      </x:c>
      <x:c r="C16" s="76"/>
      <x:c r="D16" s="76"/>
      <x:c r="E16" s="76"/>
    </x:row>
    <x:row r="17" ht="44.099998474121094" customHeight="1">
      <x:c r="A17" s="20" t="s">
        <x:v>194</x:v>
      </x:c>
      <x:c r="B17" s="76" t="s">
        <x:v>195</x:v>
      </x:c>
      <x:c r="C17" s="76"/>
      <x:c r="D17" s="76"/>
      <x:c r="E17" s="76"/>
    </x:row>
    <x:row r="18" ht="44.099998474121094" customHeight="1">
      <x:c r="A18" s="20" t="s">
        <x:v>146</x:v>
      </x:c>
      <x:c r="B18" s="76" t="s">
        <x:v>196</x:v>
      </x:c>
      <x:c r="C18" s="76"/>
      <x:c r="D18" s="76"/>
      <x:c r="E18" s="76"/>
    </x:row>
    <x:row r="19" ht="44.099998474121094" customHeight="1">
      <x:c r="A19" s="20" t="s">
        <x:v>197</x:v>
      </x:c>
      <x:c r="B19" s="76" t="s">
        <x:v>198</x:v>
      </x:c>
      <x:c r="C19" s="76"/>
      <x:c r="D19" s="76"/>
      <x:c r="E19" s="76"/>
    </x:row>
    <x:row r="20" ht="44.099998474121094" customHeight="1">
      <x:c r="A20" s="20" t="s">
        <x:v>199</x:v>
      </x:c>
      <x:c r="B20" s="76" t="str">
        <x:v>Estimación inicial 314,5 h (259 pendientes) más 36 h para automatización solicitada: 350,5 h totales y 295 pendientes. Las pruebas y documentación están incluidas. Revisar estimaciones al validar la VM.</x:v>
      </x:c>
      <x:c r="C20" s="76"/>
      <x:c r="D20" s="76"/>
      <x:c r="E20" s="76"/>
    </x:row>
    <x:row r="21" ht="44.099998474121094" customHeight="1">
      <x:c r="A21" s="20" t="s">
        <x:v>200</x:v>
      </x:c>
      <x:c r="B21" s="76" t="s">
        <x:v>201</x:v>
      </x:c>
      <x:c r="C21" s="76"/>
      <x:c r="D21" s="76"/>
      <x:c r="E21" s="76"/>
    </x:row>
    <x:row r="22" ht="44.099998474121094" customHeight="1">
      <x:c r="A22" s="20" t="s">
        <x:v>202</x:v>
      </x:c>
      <x:c r="B22" s="76" t="s">
        <x:v>203</x:v>
      </x:c>
      <x:c r="C22" s="76"/>
      <x:c r="D22" s="76"/>
      <x:c r="E22" s="76"/>
    </x:row>
    <x:row r="23" ht="57.95000076293945" customHeight="1">
      <x:c r="A23" s="20" t="s">
        <x:v>204</x:v>
      </x:c>
      <x:c r="B23" s="76" t="s">
        <x:v>205</x:v>
      </x:c>
      <x:c r="C23" s="76"/>
      <x:c r="D23" s="76"/>
      <x:c r="E23" s="76"/>
    </x:row>
    <x:row r="24" ht="44.099998474121094" customHeight="1">
      <x:c r="A24" s="20" t="s">
        <x:v>206</x:v>
      </x:c>
      <x:c r="B24" s="76" t="s">
        <x:v>207</x:v>
      </x:c>
      <x:c r="C24" s="76"/>
      <x:c r="D24" s="76"/>
      <x:c r="E24" s="76"/>
    </x:row>
    <x:row r="25" ht="44.099998474121094" customHeight="1">
      <x:c r="A25" s="20" t="s">
        <x:v>208</x:v>
      </x:c>
      <x:c r="B25" s="76" t="s">
        <x:v>209</x:v>
      </x:c>
      <x:c r="C25" s="76"/>
      <x:c r="D25" s="76"/>
      <x:c r="E25" s="76"/>
    </x:row>
    <x:row r="26" ht="44.099998474121094" customHeight="1">
      <x:c r="A26" s="20" t="s">
        <x:v>210</x:v>
      </x:c>
      <x:c r="B26" s="76" t="s">
        <x:v>211</x:v>
      </x:c>
      <x:c r="C26" s="76"/>
      <x:c r="D26" s="76"/>
      <x:c r="E26" s="76"/>
    </x:row>
    <x:row r="27" ht="44.099998474121094" customHeight="1">
      <x:c r="A27" s="20" t="s">
        <x:v>212</x:v>
      </x:c>
      <x:c r="B27" s="76" t="s">
        <x:v>213</x:v>
      </x:c>
      <x:c r="C27" s="76"/>
      <x:c r="D27" s="76"/>
      <x:c r="E27" s="76"/>
    </x:row>
    <x:row r="28" ht="44.099998474121094" customHeight="1">
      <x:c r="A28" s="20" t="s">
        <x:v>214</x:v>
      </x:c>
      <x:c r="B28" s="76" t="s">
        <x:v>215</x:v>
      </x:c>
      <x:c r="C28" s="76"/>
      <x:c r="D28" s="76"/>
      <x:c r="E28" s="76"/>
    </x:row>
    <x:row r="29" ht="44.099998474121094" customHeight="1">
      <x:c r="A29" s="20" t="s">
        <x:v>216</x:v>
      </x:c>
      <x:c r="B29" s="76" t="s">
        <x:v>217</x:v>
      </x:c>
      <x:c r="C29" s="76"/>
      <x:c r="D29" s="76"/>
      <x:c r="E29" s="76"/>
    </x:row>
    <x:row r="31" ht="60" customHeight="1">
      <x:c r="A31" s="20" t="s">
        <x:v>218</x:v>
      </x:c>
      <x:c r="B31" s="76" t="s">
        <x:v>219</x:v>
      </x:c>
      <x:c r="C31" s="76"/>
      <x:c r="D31" s="76"/>
      <x:c r="E31" s="76"/>
    </x:row>
    <x:row r="32" ht="60" customHeight="1">
      <x:c r="A32" s="20" t="s">
        <x:v>220</x:v>
      </x:c>
      <x:c r="B32" s="76" t="s">
        <x:v>221</x:v>
      </x:c>
      <x:c r="C32" s="76"/>
      <x:c r="D32" s="76"/>
      <x:c r="E32" s="76"/>
    </x:row>
    <x:row r="33" ht="60" customHeight="1">
      <x:c r="A33" s="20" t="s">
        <x:v>222</x:v>
      </x:c>
      <x:c r="B33" s="76" t="s">
        <x:v>223</x:v>
      </x:c>
      <x:c r="C33" s="76"/>
      <x:c r="D33" s="76"/>
      <x:c r="E33" s="76"/>
    </x:row>
    <x:row r="34" ht="60" customHeight="1">
      <x:c r="A34" s="20" t="s">
        <x:v>224</x:v>
      </x:c>
      <x:c r="B34" s="76" t="s">
        <x:v>225</x:v>
      </x:c>
      <x:c r="C34" s="76"/>
      <x:c r="D34" s="76"/>
      <x:c r="E34" s="76"/>
    </x:row>
    <x:row r="35" ht="60" customHeight="1">
      <x:c r="A35" s="20" t="s">
        <x:v>226</x:v>
      </x:c>
      <x:c r="B35" s="76" t="s">
        <x:v>227</x:v>
      </x:c>
      <x:c r="C35" s="76"/>
      <x:c r="D35" s="76"/>
      <x:c r="E35" s="76"/>
    </x:row>
    <x:row r="36" ht="60" customHeight="1">
      <x:c r="A36" s="20" t="s">
        <x:v>228</x:v>
      </x:c>
      <x:c r="B36" s="76" t="s">
        <x:v>229</x:v>
      </x:c>
      <x:c r="C36" s="76"/>
      <x:c r="D36" s="76"/>
      <x:c r="E36" s="76"/>
    </x:row>
    <x:row r="38" ht="62.099998474121094" customHeight="1">
      <x:c r="A38" s="20" t="s">
        <x:v>230</x:v>
      </x:c>
      <x:c r="B38" s="76" t="s">
        <x:v>231</x:v>
      </x:c>
      <x:c r="C38" s="76"/>
      <x:c r="D38" s="76"/>
      <x:c r="E38" s="76"/>
    </x:row>
    <x:row r="39" ht="62.099998474121094" customHeight="1">
      <x:c r="A39" s="20" t="s">
        <x:v>232</x:v>
      </x:c>
      <x:c r="B39" s="76" t="s">
        <x:v>233</x:v>
      </x:c>
      <x:c r="C39" s="76"/>
      <x:c r="D39" s="76"/>
      <x:c r="E39" s="76"/>
    </x:row>
    <x:row r="40" ht="62.099998474121094" customHeight="1">
      <x:c r="A40" s="20" t="s">
        <x:v>234</x:v>
      </x:c>
      <x:c r="B40" s="76" t="s">
        <x:v>235</x:v>
      </x:c>
      <x:c r="C40" s="76"/>
      <x:c r="D40" s="76"/>
      <x:c r="E40" s="76"/>
    </x:row>
    <x:row r="41" ht="62.099998474121094" customHeight="1">
      <x:c r="A41" s="20" t="s">
        <x:v>236</x:v>
      </x:c>
      <x:c r="B41" s="76" t="s">
        <x:v>237</x:v>
      </x:c>
      <x:c r="C41" s="76"/>
      <x:c r="D41" s="76"/>
      <x:c r="E41" s="76"/>
    </x:row>
    <x:row r="42" ht="62.099998474121094" customHeight="1">
      <x:c r="A42" s="20" t="s">
        <x:v>238</x:v>
      </x:c>
      <x:c r="B42" s="76" t="s">
        <x:v>239</x:v>
      </x:c>
      <x:c r="C42" s="76"/>
      <x:c r="D42" s="76"/>
      <x:c r="E42" s="76"/>
    </x:row>
    <x:row r="44" ht="65" customHeight="1">
      <x:c r="A44" s="102" t="str">
        <x:v>Automatización añadida</x:v>
      </x:c>
      <x:c r="B44" s="101" t="str">
        <x:v>P01.07–P01.12: seis tareas pendientes de 6 h. Una por desarrollador; se mantiene equilibrio de carga. Iteraciones 3–8 del primer bloque; se conservan las tareas manuales ya reportadas.</x:v>
      </x:c>
      <x:c r="C44" s="101"/>
      <x:c r="D44" s="101"/>
      <x:c r="E44" s="101"/>
    </x:row>
    <x:row r="45" ht="65" customHeight="1">
      <x:c r="A45" s="102" t="str">
        <x:v>VM propuesta</x:v>
      </x:c>
      <x:c r="B45" s="101" t="str">
        <x:v>VirtualBox, paquete base libre GPLv3, para anfitrión Windows. No se prevé Extension Pack. Validar compatibilidad del equipo y fijar versión en P01.07. Windows/ISO/licencia se preparan por separado; no están incluidos con VirtualBox.</x:v>
      </x:c>
      <x:c r="C45" s="101"/>
      <x:c r="D45" s="101"/>
      <x:c r="E45" s="101"/>
    </x:row>
    <x:row r="46" ht="65" customHeight="1">
      <x:c r="A46" s="102" t="str">
        <x:v>Fuente de la propuesta</x:v>
      </x:c>
      <x:c r="B46" s="101" t="str">
        <x:v>Oracle: https://www.oracle.com/virtualization/technologies/vm/downloads/virtualbox-downloads.html — paquete base para Windows bajo GPLv3. Consulta para seleccionar herramienta; no se ha instalado.</x:v>
      </x:c>
      <x:c r="C46" s="101"/>
      <x:c r="D46" s="101"/>
      <x:c r="E46" s="101"/>
    </x:row>
    <x:row r="47" ht="65" customHeight="1">
      <x:c r="A47" s="102" t="str">
        <x:v>Límite de automatización</x:v>
      </x:c>
      <x:c r="B47" s="101" t="str">
        <x:v>Primero crear VM Windows limpia según guía. Después ejecutar scripts PowerShell dentro de ella. Automatizar instalación del propio Windows es una ampliación aparte, no se exige para cerrar estas tareas.</x:v>
      </x:c>
      <x:c r="C47" s="101"/>
      <x:c r="D47" s="101"/>
      <x:c r="E47" s="101"/>
    </x:row>
    <x:row r="48" ht="65" customHeight="1">
      <x:c r="A48" s="102" t="str">
        <x:v>Scripts previstos</x:v>
      </x:c>
      <x:c r="B48" s="101" t="str">
        <x:v>Bootstrap con PowerShell para no requerir Node instalado antes de empezar. Reutilizar manuales y scripts de comprobación existentes. No alterar código funcional, instalaciones ajenas, datos o credenciales existentes.</x:v>
      </x:c>
      <x:c r="C48" s="101"/>
      <x:c r="D48" s="101"/>
      <x:c r="E48" s="101"/>
    </x:row>
    <x:row r="49" ht="65" customHeight="1">
      <x:c r="A49" s="102" t="str">
        <x:v>Entrega y validación</x:v>
      </x:c>
      <x:c r="B49" s="101" t="str">
        <x:v>Cada iteración comparte su script probado mediante commit/push. La última valida el conjunto desde VM limpia, repetición tras fallo y reinicio. Las verificaciones existentes se reutilizan; no se contabiliza de nuevo su creación.</x:v>
      </x:c>
      <x:c r="C49" s="101"/>
      <x:c r="D49" s="101"/>
      <x:c r="E49" s="101"/>
    </x:row>
  </x:sheetData>
  <x:mergeCells>
    <x:mergeCell ref="B38:E38"/>
    <x:mergeCell ref="B39:E39"/>
    <x:mergeCell ref="B40:E40"/>
    <x:mergeCell ref="B41:E41"/>
    <x:mergeCell ref="B42:E42"/>
    <x:mergeCell ref="B16:E16"/>
    <x:mergeCell ref="B17:E17"/>
    <x:mergeCell ref="B18:E18"/>
    <x:mergeCell ref="B19:E19"/>
    <x:mergeCell ref="B20:E20"/>
    <x:mergeCell ref="B26:E26"/>
    <x:mergeCell ref="B27:E27"/>
    <x:mergeCell ref="B28:E28"/>
    <x:mergeCell ref="B29:E29"/>
    <x:mergeCell ref="B21:E21"/>
    <x:mergeCell ref="B22:E22"/>
    <x:mergeCell ref="B23:E23"/>
    <x:mergeCell ref="B24:E24"/>
    <x:mergeCell ref="B25:E25"/>
    <x:mergeCell ref="B36:E36"/>
    <x:mergeCell ref="B31:E31"/>
    <x:mergeCell ref="B32:E32"/>
    <x:mergeCell ref="B33:E33"/>
    <x:mergeCell ref="B34:E34"/>
    <x:mergeCell ref="B35:E35"/>
    <x:mergeCell ref="B44:E44"/>
    <x:mergeCell ref="B45:E45"/>
    <x:mergeCell ref="B46:E46"/>
    <x:mergeCell ref="B47:E47"/>
    <x:mergeCell ref="B48:E48"/>
    <x:mergeCell ref="B49:E4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087F8C"/>
  </x:sheetPr>
  <x:sheetViews>
    <x:sheetView showGridLines="0" workbookViewId="0">
      <x:pane ySplit="6" topLeftCell="A7" activePane="bottomLeft" state="frozen"/>
    </x:sheetView>
  </x:sheetViews>
  <x:sheetFormatPr baseColWidth="10" defaultColWidth="9.140625" defaultRowHeight="15"/>
  <x:cols>
    <x:col min="1" max="1" width="16" customWidth="1"/>
    <x:col min="2" max="2" width="48" customWidth="1"/>
    <x:col min="3" max="3" width="35" customWidth="1"/>
    <x:col min="4" max="4" width="75" customWidth="1"/>
    <x:col min="5" max="5" width="55" customWidth="1"/>
  </x:cols>
  <x:sheetData>
    <x:row r="1" ht="21">
      <x:c r="A1" s="17" t="s">
        <x:v>240</x:v>
      </x:c>
    </x:row>
    <x:row r="2">
      <x:c r="A2" t="s">
        <x:v>241</x:v>
      </x:c>
    </x:row>
    <x:row r="6" ht="42" customHeight="1">
      <x:c r="A6" s="21" t="s">
        <x:v>242</x:v>
      </x:c>
      <x:c r="B6" s="21" t="s">
        <x:v>243</x:v>
      </x:c>
      <x:c r="C6" s="21" t="s">
        <x:v>244</x:v>
      </x:c>
      <x:c r="D6" s="21" t="s">
        <x:v>245</x:v>
      </x:c>
      <x:c r="E6" s="21" t="s">
        <x:v>246</x:v>
      </x:c>
    </x:row>
    <x:row r="7" ht="66" customHeight="1">
      <x:c r="A7" s="19" t="s">
        <x:v>9</x:v>
      </x:c>
      <x:c r="B7" s="19" t="s">
        <x:v>10</x:v>
      </x:c>
      <x:c r="C7" s="19" t="s">
        <x:v>247</x:v>
      </x:c>
      <x:c r="D7" s="19" t="s">
        <x:v>248</x:v>
      </x:c>
      <x:c r="E7" s="19" t="s">
        <x:v>249</x:v>
      </x:c>
    </x:row>
    <x:row r="8" ht="66" customHeight="1">
      <x:c r="A8" s="19" t="s">
        <x:v>15</x:v>
      </x:c>
      <x:c r="B8" s="19" t="s">
        <x:v>16</x:v>
      </x:c>
      <x:c r="C8" s="19" t="s">
        <x:v>250</x:v>
      </x:c>
      <x:c r="D8" s="19" t="s">
        <x:v>251</x:v>
      </x:c>
      <x:c r="E8" s="19" t="s">
        <x:v>249</x:v>
      </x:c>
    </x:row>
    <x:row r="9" ht="100" customHeight="1">
      <x:c r="A9" s="19" t="s">
        <x:v>19</x:v>
      </x:c>
      <x:c r="B9" s="19" t="s">
        <x:v>20</x:v>
      </x:c>
      <x:c r="C9" s="19" t="s">
        <x:v>252</x:v>
      </x:c>
      <x:c r="D9" s="19" t="str">
        <x:v>P01.01, P01.02, P01.03, P01.04, P01.05, P02.01, P02.02, P02.03, P02.04, P02.05, P02.07, P02.08, P02.09, P02.10, P02.11, P06.01, P06.02, P14.03, P14.04, P01.07, P01.08, P01.09, P01.10, P01.11, P01.12</x:v>
      </x:c>
      <x:c r="E9" s="19" t="s">
        <x:v>249</x:v>
      </x:c>
    </x:row>
    <x:row r="10" ht="66" customHeight="1">
      <x:c r="A10" s="19" t="s">
        <x:v>24</x:v>
      </x:c>
      <x:c r="B10" s="19" t="s">
        <x:v>25</x:v>
      </x:c>
      <x:c r="C10" s="19" t="s">
        <x:v>253</x:v>
      </x:c>
      <x:c r="D10" s="19" t="s">
        <x:v>254</x:v>
      </x:c>
      <x:c r="E10" s="19" t="s">
        <x:v>249</x:v>
      </x:c>
    </x:row>
    <x:row r="11" ht="66" customHeight="1">
      <x:c r="A11" s="19" t="s">
        <x:v>29</x:v>
      </x:c>
      <x:c r="B11" s="19" t="s">
        <x:v>30</x:v>
      </x:c>
      <x:c r="C11" s="19" t="s">
        <x:v>255</x:v>
      </x:c>
      <x:c r="D11" s="19" t="s">
        <x:v>256</x:v>
      </x:c>
      <x:c r="E11" s="19" t="s">
        <x:v>249</x:v>
      </x:c>
    </x:row>
    <x:row r="12" ht="66" customHeight="1">
      <x:c r="A12" s="19" t="s">
        <x:v>34</x:v>
      </x:c>
      <x:c r="B12" s="19" t="s">
        <x:v>35</x:v>
      </x:c>
      <x:c r="C12" s="19" t="s">
        <x:v>257</x:v>
      </x:c>
      <x:c r="D12" s="19" t="s">
        <x:v>258</x:v>
      </x:c>
      <x:c r="E12" s="19" t="s">
        <x:v>249</x:v>
      </x:c>
    </x:row>
    <x:row r="13" ht="66" customHeight="1">
      <x:c r="A13" s="19" t="s">
        <x:v>37</x:v>
      </x:c>
      <x:c r="B13" s="19" t="s">
        <x:v>38</x:v>
      </x:c>
      <x:c r="C13" s="19" t="s">
        <x:v>259</x:v>
      </x:c>
      <x:c r="D13" s="19" t="s">
        <x:v>260</x:v>
      </x:c>
      <x:c r="E13" s="19" t="s">
        <x:v>249</x:v>
      </x:c>
    </x:row>
    <x:row r="14" ht="66" customHeight="1">
      <x:c r="A14" s="19" t="s">
        <x:v>41</x:v>
      </x:c>
      <x:c r="B14" s="19" t="s">
        <x:v>42</x:v>
      </x:c>
      <x:c r="C14" s="19" t="s">
        <x:v>261</x:v>
      </x:c>
      <x:c r="D14" s="19" t="s">
        <x:v>262</x:v>
      </x:c>
      <x:c r="E14" s="19" t="s">
        <x:v>249</x:v>
      </x:c>
    </x:row>
    <x:row r="15" ht="66" customHeight="1">
      <x:c r="A15" s="19" t="s">
        <x:v>45</x:v>
      </x:c>
      <x:c r="B15" s="19" t="s">
        <x:v>46</x:v>
      </x:c>
      <x:c r="C15" s="19" t="s">
        <x:v>263</x:v>
      </x:c>
      <x:c r="D15" s="19" t="s">
        <x:v>264</x:v>
      </x:c>
      <x:c r="E15" s="19" t="s">
        <x:v>249</x:v>
      </x:c>
    </x:row>
    <x:row r="16" ht="66" customHeight="1">
      <x:c r="A16" s="19" t="s">
        <x:v>49</x:v>
      </x:c>
      <x:c r="B16" s="19" t="s">
        <x:v>50</x:v>
      </x:c>
      <x:c r="C16" s="19" t="s">
        <x:v>265</x:v>
      </x:c>
      <x:c r="D16" s="19" t="s">
        <x:v>266</x:v>
      </x:c>
      <x:c r="E16" s="19" t="s">
        <x:v>249</x:v>
      </x:c>
    </x:row>
    <x:row r="17" ht="66" customHeight="1">
      <x:c r="A17" s="19" t="s">
        <x:v>52</x:v>
      </x:c>
      <x:c r="B17" s="19" t="s">
        <x:v>53</x:v>
      </x:c>
      <x:c r="C17" s="19" t="s">
        <x:v>267</x:v>
      </x:c>
      <x:c r="D17" s="19" t="s">
        <x:v>268</x:v>
      </x:c>
      <x:c r="E17" s="19" t="s">
        <x:v>249</x:v>
      </x:c>
    </x:row>
    <x:row r="18" ht="66" customHeight="1">
      <x:c r="A18" s="19" t="s">
        <x:v>57</x:v>
      </x:c>
      <x:c r="B18" s="19" t="s">
        <x:v>58</x:v>
      </x:c>
      <x:c r="C18" s="19" t="s">
        <x:v>269</x:v>
      </x:c>
      <x:c r="D18" s="19" t="s">
        <x:v>270</x:v>
      </x:c>
      <x:c r="E18" s="19" t="s">
        <x:v>249</x:v>
      </x:c>
    </x:row>
    <x:row r="19" ht="66" customHeight="1">
      <x:c r="A19" s="19" t="s">
        <x:v>60</x:v>
      </x:c>
      <x:c r="B19" s="19" t="s">
        <x:v>61</x:v>
      </x:c>
      <x:c r="C19" s="19" t="s">
        <x:v>271</x:v>
      </x:c>
      <x:c r="D19" s="19" t="s">
        <x:v>272</x:v>
      </x:c>
      <x:c r="E19" s="19" t="s">
        <x:v>249</x:v>
      </x:c>
    </x:row>
    <x:row r="20" ht="66" customHeight="1">
      <x:c r="A20" s="19" t="s">
        <x:v>64</x:v>
      </x:c>
      <x:c r="B20" s="19" t="s">
        <x:v>65</x:v>
      </x:c>
      <x:c r="C20" s="19" t="s">
        <x:v>273</x:v>
      </x:c>
      <x:c r="D20" s="19" t="s">
        <x:v>274</x:v>
      </x:c>
      <x:c r="E20" s="19" t="s">
        <x:v>249</x:v>
      </x:c>
    </x:row>
    <x:row r="21" ht="66" customHeight="1">
      <x:c r="A21" s="19" t="s">
        <x:v>68</x:v>
      </x:c>
      <x:c r="B21" s="19" t="s">
        <x:v>69</x:v>
      </x:c>
      <x:c r="C21" s="19" t="s">
        <x:v>275</x:v>
      </x:c>
      <x:c r="D21" s="19" t="s">
        <x:v>276</x:v>
      </x:c>
      <x:c r="E21" s="19" t="s">
        <x:v>249</x:v>
      </x:c>
    </x:row>
    <x:row r="22" ht="66" customHeight="1">
      <x:c r="A22" s="19" t="s">
        <x:v>72</x:v>
      </x:c>
      <x:c r="B22" s="19" t="s">
        <x:v>73</x:v>
      </x:c>
      <x:c r="C22" s="19" t="s">
        <x:v>277</x:v>
      </x:c>
      <x:c r="D22" s="19" t="s">
        <x:v>278</x:v>
      </x:c>
      <x:c r="E22" s="19" t="s">
        <x:v>249</x:v>
      </x:c>
    </x:row>
    <x:row r="23" ht="66" customHeight="1">
      <x:c r="A23" s="19" t="s">
        <x:v>76</x:v>
      </x:c>
      <x:c r="B23" s="19" t="s">
        <x:v>77</x:v>
      </x:c>
      <x:c r="C23" s="19" t="s">
        <x:v>279</x:v>
      </x:c>
      <x:c r="D23" s="19" t="s">
        <x:v>280</x:v>
      </x:c>
      <x:c r="E23" s="19" t="s">
        <x:v>249</x:v>
      </x:c>
    </x:row>
    <x:row r="24" ht="66" customHeight="1">
      <x:c r="A24" s="19" t="s">
        <x:v>80</x:v>
      </x:c>
      <x:c r="B24" s="19" t="s">
        <x:v>81</x:v>
      </x:c>
      <x:c r="C24" s="19" t="s">
        <x:v>281</x:v>
      </x:c>
      <x:c r="D24" s="19" t="s">
        <x:v>282</x:v>
      </x:c>
      <x:c r="E24" s="19" t="s">
        <x:v>249</x:v>
      </x:c>
    </x:row>
    <x:row r="25" ht="66" customHeight="1">
      <x:c r="A25" s="19" t="s">
        <x:v>84</x:v>
      </x:c>
      <x:c r="B25" s="19" t="s">
        <x:v>85</x:v>
      </x:c>
      <x:c r="C25" s="19" t="s">
        <x:v>283</x:v>
      </x:c>
      <x:c r="D25" s="19" t="s">
        <x:v>284</x:v>
      </x:c>
      <x:c r="E25" s="19" t="s">
        <x:v>249</x:v>
      </x:c>
    </x:row>
    <x:row r="26" ht="66" customHeight="1">
      <x:c r="A26" s="19" t="s">
        <x:v>88</x:v>
      </x:c>
      <x:c r="B26" s="19" t="s">
        <x:v>89</x:v>
      </x:c>
      <x:c r="C26" s="19" t="s">
        <x:v>285</x:v>
      </x:c>
      <x:c r="D26" s="19" t="s">
        <x:v>286</x:v>
      </x:c>
      <x:c r="E26" s="19" t="s">
        <x:v>249</x:v>
      </x:c>
    </x:row>
    <x:row r="27" ht="66" customHeight="1">
      <x:c r="A27" s="19" t="s">
        <x:v>92</x:v>
      </x:c>
      <x:c r="B27" s="19" t="s">
        <x:v>93</x:v>
      </x:c>
      <x:c r="C27" s="19" t="s">
        <x:v>287</x:v>
      </x:c>
      <x:c r="D27" s="19" t="s">
        <x:v>288</x:v>
      </x:c>
      <x:c r="E27" s="19" t="s">
        <x:v>249</x:v>
      </x:c>
    </x:row>
    <x:row r="28" ht="66" customHeight="1">
      <x:c r="A28" s="19" t="s">
        <x:v>95</x:v>
      </x:c>
      <x:c r="B28" s="19" t="s">
        <x:v>96</x:v>
      </x:c>
      <x:c r="C28" s="19" t="s">
        <x:v>289</x:v>
      </x:c>
      <x:c r="D28" s="19" t="s">
        <x:v>290</x:v>
      </x:c>
      <x:c r="E28" s="19" t="s">
        <x:v>249</x:v>
      </x:c>
    </x:row>
    <x:row r="29" ht="66" customHeight="1">
      <x:c r="A29" s="19" t="s">
        <x:v>99</x:v>
      </x:c>
      <x:c r="B29" s="19" t="s">
        <x:v>100</x:v>
      </x:c>
      <x:c r="C29" s="19" t="s">
        <x:v>291</x:v>
      </x:c>
      <x:c r="D29" s="19" t="s">
        <x:v>292</x:v>
      </x:c>
      <x:c r="E29" s="19" t="s">
        <x:v>249</x:v>
      </x:c>
    </x:row>
    <x:row r="30" ht="66" customHeight="1">
      <x:c r="A30" s="19" t="s">
        <x:v>102</x:v>
      </x:c>
      <x:c r="B30" s="19" t="s">
        <x:v>103</x:v>
      </x:c>
      <x:c r="C30" s="19" t="s">
        <x:v>293</x:v>
      </x:c>
      <x:c r="D30" s="19" t="s">
        <x:v>294</x:v>
      </x:c>
      <x:c r="E30" s="19" t="s">
        <x:v>249</x:v>
      </x:c>
    </x:row>
    <x:row r="31" ht="66" customHeight="1">
      <x:c r="A31" s="19" t="s">
        <x:v>106</x:v>
      </x:c>
      <x:c r="B31" s="19" t="s">
        <x:v>107</x:v>
      </x:c>
      <x:c r="C31" s="19" t="s">
        <x:v>295</x:v>
      </x:c>
      <x:c r="D31" s="19" t="s">
        <x:v>296</x:v>
      </x:c>
      <x:c r="E31" s="19" t="s">
        <x:v>249</x:v>
      </x:c>
    </x:row>
    <x:row r="32" ht="66" customHeight="1">
      <x:c r="A32" s="19" t="s">
        <x:v>110</x:v>
      </x:c>
      <x:c r="B32" s="19" t="s">
        <x:v>111</x:v>
      </x:c>
      <x:c r="C32" s="19" t="s">
        <x:v>297</x:v>
      </x:c>
      <x:c r="D32" s="19" t="s">
        <x:v>298</x:v>
      </x:c>
      <x:c r="E32" s="19" t="s">
        <x:v>249</x:v>
      </x:c>
    </x:row>
    <x:row r="33" ht="66" customHeight="1">
      <x:c r="A33" s="19" t="s">
        <x:v>299</x:v>
      </x:c>
      <x:c r="B33" s="19" t="s">
        <x:v>300</x:v>
      </x:c>
      <x:c r="C33" s="19" t="s">
        <x:v>301</x:v>
      </x:c>
      <x:c r="D33" s="19" t="s">
        <x:v>302</x:v>
      </x:c>
      <x:c r="E33" s="19" t="s">
        <x:v>303</x:v>
      </x:c>
    </x:row>
    <x:row r="34" ht="66" customHeight="1">
      <x:c r="A34" s="19" t="s">
        <x:v>304</x:v>
      </x:c>
      <x:c r="B34" s="19" t="s">
        <x:v>305</x:v>
      </x:c>
      <x:c r="C34" s="19" t="s">
        <x:v>306</x:v>
      </x:c>
      <x:c r="D34" s="19" t="s">
        <x:v>307</x:v>
      </x:c>
      <x:c r="E34" s="19" t="s">
        <x:v>303</x:v>
      </x:c>
    </x:row>
    <x:row r="35" ht="66" customHeight="1">
      <x:c r="A35" s="19" t="s">
        <x:v>308</x:v>
      </x:c>
      <x:c r="B35" s="19" t="s">
        <x:v>309</x:v>
      </x:c>
      <x:c r="C35" s="19" t="s">
        <x:v>310</x:v>
      </x:c>
      <x:c r="D35" s="19" t="s">
        <x:v>311</x:v>
      </x:c>
      <x:c r="E35" s="19" t="s">
        <x:v>303</x:v>
      </x:c>
    </x:row>
    <x:row r="36" ht="100" customHeight="1">
      <x:c r="A36" s="19" t="s">
        <x:v>312</x:v>
      </x:c>
      <x:c r="B36" s="19" t="s">
        <x:v>313</x:v>
      </x:c>
      <x:c r="C36" s="19" t="s">
        <x:v>314</x:v>
      </x:c>
      <x:c r="D36" s="19" t="str">
        <x:v>P01.06, P02.01, P02.02, P02.03, P04.13, P04.14, P04.15, P06.01, P06.02, P07.15, P07.16, P07.17, P07.18, P08.01, P08.02, P08.03, P09.01, P09.02, P09.03, P09.04, P10.01, P10.02, P10.03, P11.01, P11.02, P11.03, P11.04, P12.01, P12.02, P12.03, P12.04, P14.04, P01.07, P01.08, P01.09, P01.10, P01.11, P01.12</x:v>
      </x:c>
      <x:c r="E36" s="19" t="s">
        <x:v>303</x:v>
      </x:c>
    </x:row>
    <x:row r="37" ht="66" customHeight="1">
      <x:c r="A37" s="19" t="s">
        <x:v>315</x:v>
      </x:c>
      <x:c r="B37" s="19" t="s">
        <x:v>316</x:v>
      </x:c>
      <x:c r="C37" s="19" t="s">
        <x:v>317</x:v>
      </x:c>
      <x:c r="D37" s="19" t="s">
        <x:v>318</x:v>
      </x:c>
      <x:c r="E37" s="19" t="s">
        <x:v>303</x:v>
      </x:c>
    </x:row>
    <x:row r="38" ht="100" customHeight="1">
      <x:c r="A38" s="19" t="s">
        <x:v>319</x:v>
      </x:c>
      <x:c r="B38" s="19" t="s">
        <x:v>320</x:v>
      </x:c>
      <x:c r="C38" s="19" t="s">
        <x:v>321</x:v>
      </x:c>
      <x:c r="D38" s="19" t="str">
        <x:v>P01.06, P02.06, P02.07, P02.08, P02.09, P02.10, P02.11, P14.05, P15.01, P15.02, P15.03, P01.07, P01.08, P01.09, P01.10, P01.11, P01.12</x:v>
      </x:c>
      <x:c r="E38" s="19" t="s">
        <x:v>303</x:v>
      </x:c>
    </x:row>
    <x:row r="39" ht="66" customHeight="1">
      <x:c r="A39" s="19" t="s">
        <x:v>322</x:v>
      </x:c>
      <x:c r="B39" s="19" t="s">
        <x:v>323</x:v>
      </x:c>
      <x:c r="C39" s="19" t="s">
        <x:v>324</x:v>
      </x:c>
      <x:c r="D39" s="19"/>
      <x:c r="E39" s="19" t="s">
        <x:v>325</x:v>
      </x:c>
    </x:row>
    <x:row r="40" ht="66" customHeight="1">
      <x:c r="A40" s="19" t="s">
        <x:v>326</x:v>
      </x:c>
      <x:c r="B40" s="19" t="s">
        <x:v>327</x:v>
      </x:c>
      <x:c r="C40" s="19" t="s">
        <x:v>328</x:v>
      </x:c>
      <x:c r="D40" s="19"/>
      <x:c r="E40" s="19" t="s">
        <x:v>325</x:v>
      </x:c>
    </x:row>
    <x:row r="41" ht="66" customHeight="1">
      <x:c r="A41" s="19" t="s">
        <x:v>329</x:v>
      </x:c>
      <x:c r="B41" s="19" t="s">
        <x:v>330</x:v>
      </x:c>
      <x:c r="C41" s="19" t="s">
        <x:v>331</x:v>
      </x:c>
      <x:c r="D41" s="19"/>
      <x:c r="E41" s="19" t="s">
        <x:v>325</x:v>
      </x:c>
    </x:row>
    <x:row r="42" ht="66" customHeight="1">
      <x:c r="A42" s="19" t="s">
        <x:v>332</x:v>
      </x:c>
      <x:c r="B42" s="19" t="s">
        <x:v>333</x:v>
      </x:c>
      <x:c r="C42" s="19" t="s">
        <x:v>334</x:v>
      </x:c>
      <x:c r="D42" s="19"/>
      <x:c r="E42" s="19" t="s">
        <x:v>325</x:v>
      </x:c>
    </x:row>
    <x:row r="43" ht="66" customHeight="1">
      <x:c r="A43" s="19" t="s">
        <x:v>335</x:v>
      </x:c>
      <x:c r="B43" s="19" t="s">
        <x:v>336</x:v>
      </x:c>
      <x:c r="C43" s="19" t="s">
        <x:v>337</x:v>
      </x:c>
      <x:c r="D43" s="19"/>
      <x:c r="E43" s="19" t="s">
        <x:v>325</x:v>
      </x:c>
    </x:row>
    <x:row r="44" ht="66" customHeight="1">
      <x:c r="A44" s="19" t="s">
        <x:v>338</x:v>
      </x:c>
      <x:c r="B44" s="19" t="s">
        <x:v>339</x:v>
      </x:c>
      <x:c r="C44" s="19" t="s">
        <x:v>340</x:v>
      </x:c>
      <x:c r="D44" s="19"/>
      <x:c r="E44" s="19" t="s">
        <x:v>325</x:v>
      </x:c>
    </x:row>
    <x:row r="45" ht="66" customHeight="1">
      <x:c r="A45" s="19" t="s">
        <x:v>341</x:v>
      </x:c>
      <x:c r="B45" s="19" t="s">
        <x:v>342</x:v>
      </x:c>
      <x:c r="C45" s="19" t="s">
        <x:v>343</x:v>
      </x:c>
      <x:c r="D45" s="19"/>
      <x:c r="E45" s="19" t="s">
        <x:v>325</x:v>
      </x:c>
    </x:row>
    <x:row r="46" ht="66" customHeight="1">
      <x:c r="A46" s="19" t="s">
        <x:v>344</x:v>
      </x:c>
      <x:c r="B46" s="19" t="s">
        <x:v>345</x:v>
      </x:c>
      <x:c r="C46" s="19" t="s">
        <x:v>346</x:v>
      </x:c>
      <x:c r="D46" s="19"/>
      <x:c r="E46" s="19" t="s">
        <x:v>325</x:v>
      </x:c>
    </x:row>
    <x:row r="47" ht="66" customHeight="1">
      <x:c r="A47" s="19" t="s">
        <x:v>347</x:v>
      </x:c>
      <x:c r="B47" s="19" t="s">
        <x:v>348</x:v>
      </x:c>
      <x:c r="C47" s="19" t="s">
        <x:v>349</x:v>
      </x:c>
      <x:c r="D47" s="19"/>
      <x:c r="E47" s="19" t="s">
        <x:v>325</x:v>
      </x:c>
    </x:row>
    <x:row r="48" ht="66" customHeight="1">
      <x:c r="A48" s="19" t="s">
        <x:v>350</x:v>
      </x:c>
      <x:c r="B48" s="19" t="s">
        <x:v>351</x:v>
      </x:c>
      <x:c r="C48" s="19" t="s">
        <x:v>352</x:v>
      </x:c>
      <x:c r="D48" s="19"/>
      <x:c r="E48" s="19" t="s">
        <x:v>325</x:v>
      </x:c>
    </x:row>
    <x:row r="49" ht="66" customHeight="1">
      <x:c r="A49" s="19" t="s">
        <x:v>353</x:v>
      </x:c>
      <x:c r="B49" s="19" t="s">
        <x:v>354</x:v>
      </x:c>
      <x:c r="C49" s="19" t="s">
        <x:v>355</x:v>
      </x:c>
      <x:c r="D49" s="19"/>
      <x:c r="E49" s="19" t="s">
        <x:v>325</x:v>
      </x:c>
    </x:row>
    <x:row r="50" ht="66" customHeight="1">
      <x:c r="A50" s="19" t="s">
        <x:v>356</x:v>
      </x:c>
      <x:c r="B50" s="19" t="s">
        <x:v>357</x:v>
      </x:c>
      <x:c r="C50" s="19" t="s">
        <x:v>358</x:v>
      </x:c>
      <x:c r="D50" s="19"/>
      <x:c r="E50" s="19" t="s">
        <x:v>325</x:v>
      </x:c>
    </x:row>
    <x:row r="51" ht="66" customHeight="1">
      <x:c r="A51" s="19" t="s">
        <x:v>359</x:v>
      </x:c>
      <x:c r="B51" s="19" t="s">
        <x:v>360</x:v>
      </x:c>
      <x:c r="C51" s="19" t="s">
        <x:v>361</x:v>
      </x:c>
      <x:c r="D51" s="19"/>
      <x:c r="E51" s="19" t="s">
        <x:v>325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087F8C"/>
  </x:sheetPr>
  <x:sheetViews>
    <x:sheetView showGridLines="0" workbookViewId="0">
      <x:pane ySplit="6" topLeftCell="A7" activePane="bottomLeft" state="frozen"/>
    </x:sheetView>
  </x:sheetViews>
  <x:sheetFormatPr baseColWidth="10" defaultColWidth="9.140625" defaultRowHeight="15"/>
  <x:cols>
    <x:col min="1" max="1" width="21" customWidth="1"/>
    <x:col min="2" max="2" width="35" customWidth="1"/>
    <x:col min="3" max="3" width="60" customWidth="1"/>
    <x:col min="4" max="4" width="25" customWidth="1"/>
    <x:col min="5" max="5" width="54" customWidth="1"/>
    <x:col min="6" max="7" width="62" customWidth="1"/>
    <x:col min="8" max="8" width="60" customWidth="1"/>
    <x:col min="9" max="9" width="65" customWidth="1"/>
    <x:col min="10" max="10" width="85" customWidth="1"/>
    <x:col min="11" max="11" width="60" customWidth="1"/>
  </x:cols>
  <x:sheetData>
    <x:row r="1" ht="21">
      <x:c r="A1" s="17" t="s">
        <x:v>362</x:v>
      </x:c>
    </x:row>
    <x:row r="2">
      <x:c r="A2" t="s">
        <x:v>363</x:v>
      </x:c>
    </x:row>
    <x:row r="3">
      <x:c r="A3" t="s">
        <x:v>364</x:v>
      </x:c>
    </x:row>
    <x:row r="4">
      <x:c r="A4" t="s">
        <x:v>365</x:v>
      </x:c>
    </x:row>
    <x:row r="6" ht="45" customHeight="1">
      <x:c r="A6" s="72" t="s">
        <x:v>366</x:v>
      </x:c>
      <x:c r="B6" s="72" t="s">
        <x:v>367</x:v>
      </x:c>
      <x:c r="C6" s="72" t="s">
        <x:v>368</x:v>
      </x:c>
      <x:c r="D6" s="72" t="s">
        <x:v>369</x:v>
      </x:c>
      <x:c r="E6" s="72" t="s">
        <x:v>370</x:v>
      </x:c>
      <x:c r="F6" s="72" t="s">
        <x:v>371</x:v>
      </x:c>
      <x:c r="G6" s="72" t="s">
        <x:v>372</x:v>
      </x:c>
      <x:c r="H6" s="72" t="s">
        <x:v>373</x:v>
      </x:c>
      <x:c r="I6" s="72" t="s">
        <x:v>374</x:v>
      </x:c>
      <x:c r="J6" s="72" t="s">
        <x:v>375</x:v>
      </x:c>
      <x:c r="K6" s="72" t="s">
        <x:v>232</x:v>
      </x:c>
    </x:row>
    <x:row r="7" ht="300" customHeight="1">
      <x:c r="A7" s="18" t="s">
        <x:v>376</x:v>
      </x:c>
      <x:c r="B7" s="18" t="s">
        <x:v>377</x:v>
      </x:c>
      <x:c r="C7" s="18" t="s">
        <x:v>378</x:v>
      </x:c>
      <x:c r="D7" s="18" t="s">
        <x:v>379</x:v>
      </x:c>
      <x:c r="E7" s="18" t="s">
        <x:v>380</x:v>
      </x:c>
      <x:c r="F7" s="18" t="s">
        <x:v>381</x:v>
      </x:c>
      <x:c r="G7" s="18" t="s">
        <x:v>382</x:v>
      </x:c>
      <x:c r="H7" s="18" t="s">
        <x:v>383</x:v>
      </x:c>
      <x:c r="I7" s="18" t="s">
        <x:v>384</x:v>
      </x:c>
      <x:c r="J7" s="18" t="s">
        <x:v>385</x:v>
      </x:c>
      <x:c r="K7" s="18" t="s">
        <x:v>386</x:v>
      </x:c>
    </x:row>
    <x:row r="8" ht="140.10000610351562" customHeight="1">
      <x:c r="A8" s="18" t="s">
        <x:v>387</x:v>
      </x:c>
      <x:c r="B8" s="18" t="s">
        <x:v>388</x:v>
      </x:c>
      <x:c r="C8" s="18" t="s">
        <x:v>389</x:v>
      </x:c>
      <x:c r="D8" s="18"/>
      <x:c r="E8" s="18"/>
      <x:c r="F8" s="18" t="s">
        <x:v>390</x:v>
      </x:c>
      <x:c r="G8" s="18" t="s">
        <x:v>391</x:v>
      </x:c>
      <x:c r="H8" s="18" t="s">
        <x:v>392</x:v>
      </x:c>
      <x:c r="I8" s="18" t="s">
        <x:v>393</x:v>
      </x:c>
      <x:c r="J8" s="18" t="s">
        <x:v>394</x:v>
      </x:c>
      <x:c r="K8" s="18" t="s">
        <x:v>395</x:v>
      </x:c>
    </x:row>
    <x:row r="9" ht="300" customHeight="1">
      <x:c r="A9" s="18" t="s">
        <x:v>396</x:v>
      </x:c>
      <x:c r="B9" s="18" t="s">
        <x:v>397</x:v>
      </x:c>
      <x:c r="C9" s="18" t="s">
        <x:v>398</x:v>
      </x:c>
      <x:c r="D9" s="18" t="s">
        <x:v>399</x:v>
      </x:c>
      <x:c r="E9" s="18" t="s">
        <x:v>400</x:v>
      </x:c>
      <x:c r="F9" s="18" t="s">
        <x:v>401</x:v>
      </x:c>
      <x:c r="G9" s="18" t="s">
        <x:v>391</x:v>
      </x:c>
      <x:c r="H9" s="18" t="s">
        <x:v>402</x:v>
      </x:c>
      <x:c r="I9" s="18" t="s">
        <x:v>403</x:v>
      </x:c>
      <x:c r="J9" s="18" t="s">
        <x:v>404</x:v>
      </x:c>
      <x:c r="K9" s="18" t="s">
        <x:v>386</x:v>
      </x:c>
    </x:row>
    <x:row r="10" ht="300" customHeight="1">
      <x:c r="A10" s="18" t="s">
        <x:v>405</x:v>
      </x:c>
      <x:c r="B10" s="18" t="s">
        <x:v>406</x:v>
      </x:c>
      <x:c r="C10" s="18" t="s">
        <x:v>407</x:v>
      </x:c>
      <x:c r="D10" s="18" t="s">
        <x:v>408</x:v>
      </x:c>
      <x:c r="E10" s="18" t="s">
        <x:v>409</x:v>
      </x:c>
      <x:c r="F10" s="18" t="s">
        <x:v>410</x:v>
      </x:c>
      <x:c r="G10" s="18" t="s">
        <x:v>391</x:v>
      </x:c>
      <x:c r="H10" s="18" t="s">
        <x:v>402</x:v>
      </x:c>
      <x:c r="I10" s="18" t="s">
        <x:v>411</x:v>
      </x:c>
      <x:c r="J10" s="18" t="s">
        <x:v>412</x:v>
      </x:c>
      <x:c r="K10" s="18" t="s">
        <x:v>413</x:v>
      </x:c>
    </x:row>
    <x:row r="11" ht="300" customHeight="1">
      <x:c r="A11" s="18" t="s">
        <x:v>414</x:v>
      </x:c>
      <x:c r="B11" s="18" t="s">
        <x:v>415</x:v>
      </x:c>
      <x:c r="C11" s="18" t="s">
        <x:v>416</x:v>
      </x:c>
      <x:c r="D11" s="18" t="s">
        <x:v>417</x:v>
      </x:c>
      <x:c r="E11" s="18" t="s">
        <x:v>418</x:v>
      </x:c>
      <x:c r="F11" s="18" t="s">
        <x:v>419</x:v>
      </x:c>
      <x:c r="G11" s="18" t="s">
        <x:v>420</x:v>
      </x:c>
      <x:c r="H11" s="18" t="s">
        <x:v>421</x:v>
      </x:c>
      <x:c r="I11" s="18" t="s">
        <x:v>422</x:v>
      </x:c>
      <x:c r="J11" s="18" t="s">
        <x:v>423</x:v>
      </x:c>
      <x:c r="K11" s="18" t="s">
        <x:v>413</x:v>
      </x:c>
    </x:row>
    <x:row r="12" ht="300" customHeight="1">
      <x:c r="A12" s="18" t="s">
        <x:v>424</x:v>
      </x:c>
      <x:c r="B12" s="18" t="s">
        <x:v>425</x:v>
      </x:c>
      <x:c r="C12" s="18" t="s">
        <x:v>426</x:v>
      </x:c>
      <x:c r="D12" s="18" t="s">
        <x:v>427</x:v>
      </x:c>
      <x:c r="E12" s="18" t="s">
        <x:v>428</x:v>
      </x:c>
      <x:c r="F12" s="18" t="s">
        <x:v>429</x:v>
      </x:c>
      <x:c r="G12" s="18" t="s">
        <x:v>430</x:v>
      </x:c>
      <x:c r="H12" s="18" t="s">
        <x:v>431</x:v>
      </x:c>
      <x:c r="I12" s="18" t="s">
        <x:v>432</x:v>
      </x:c>
      <x:c r="J12" s="18" t="s">
        <x:v>433</x:v>
      </x:c>
      <x:c r="K12" s="18" t="s">
        <x:v>413</x:v>
      </x:c>
    </x:row>
    <x:row r="13" ht="300" customHeight="1">
      <x:c r="A13" s="18" t="s">
        <x:v>434</x:v>
      </x:c>
      <x:c r="B13" s="18" t="s">
        <x:v>435</x:v>
      </x:c>
      <x:c r="C13" s="18" t="s">
        <x:v>436</x:v>
      </x:c>
      <x:c r="D13" s="18" t="s">
        <x:v>437</x:v>
      </x:c>
      <x:c r="E13" s="18" t="s">
        <x:v>438</x:v>
      </x:c>
      <x:c r="F13" s="18" t="s">
        <x:v>439</x:v>
      </x:c>
      <x:c r="G13" s="18" t="s">
        <x:v>440</x:v>
      </x:c>
      <x:c r="H13" s="18" t="s">
        <x:v>441</x:v>
      </x:c>
      <x:c r="I13" s="18" t="s">
        <x:v>442</x:v>
      </x:c>
      <x:c r="J13" s="18" t="s">
        <x:v>443</x:v>
      </x:c>
      <x:c r="K13" s="18" t="s">
        <x:v>413</x:v>
      </x:c>
    </x:row>
    <x:row r="14" ht="140.10000610351562" customHeight="1">
      <x:c r="A14" s="18" t="s">
        <x:v>444</x:v>
      </x:c>
      <x:c r="B14" s="18" t="s">
        <x:v>445</x:v>
      </x:c>
      <x:c r="C14" s="18" t="s">
        <x:v>446</x:v>
      </x:c>
      <x:c r="D14" s="18"/>
      <x:c r="E14" s="18"/>
      <x:c r="F14" s="18" t="s">
        <x:v>390</x:v>
      </x:c>
      <x:c r="G14" s="18" t="s">
        <x:v>391</x:v>
      </x:c>
      <x:c r="H14" s="18" t="s">
        <x:v>392</x:v>
      </x:c>
      <x:c r="I14" s="18" t="s">
        <x:v>393</x:v>
      </x:c>
      <x:c r="J14" s="18" t="s">
        <x:v>394</x:v>
      </x:c>
      <x:c r="K14" s="18" t="s">
        <x:v>395</x:v>
      </x:c>
    </x:row>
    <x:row r="15" ht="140.10000610351562" customHeight="1">
      <x:c r="A15" s="18" t="s">
        <x:v>447</x:v>
      </x:c>
      <x:c r="B15" s="18" t="s">
        <x:v>448</x:v>
      </x:c>
      <x:c r="C15" s="18" t="s">
        <x:v>449</x:v>
      </x:c>
      <x:c r="D15" s="18"/>
      <x:c r="E15" s="18"/>
      <x:c r="F15" s="18" t="s">
        <x:v>390</x:v>
      </x:c>
      <x:c r="G15" s="18" t="s">
        <x:v>391</x:v>
      </x:c>
      <x:c r="H15" s="18" t="s">
        <x:v>392</x:v>
      </x:c>
      <x:c r="I15" s="18" t="s">
        <x:v>393</x:v>
      </x:c>
      <x:c r="J15" s="18" t="s">
        <x:v>394</x:v>
      </x:c>
      <x:c r="K15" s="18" t="s">
        <x:v>395</x:v>
      </x:c>
    </x:row>
    <x:row r="16" ht="140.10000610351562" customHeight="1">
      <x:c r="A16" s="18" t="s">
        <x:v>450</x:v>
      </x:c>
      <x:c r="B16" s="18" t="s">
        <x:v>451</x:v>
      </x:c>
      <x:c r="C16" s="18" t="s">
        <x:v>452</x:v>
      </x:c>
      <x:c r="D16" s="18"/>
      <x:c r="E16" s="18"/>
      <x:c r="F16" s="18" t="s">
        <x:v>390</x:v>
      </x:c>
      <x:c r="G16" s="18" t="s">
        <x:v>391</x:v>
      </x:c>
      <x:c r="H16" s="18" t="s">
        <x:v>392</x:v>
      </x:c>
      <x:c r="I16" s="18" t="s">
        <x:v>393</x:v>
      </x:c>
      <x:c r="J16" s="18" t="s">
        <x:v>394</x:v>
      </x:c>
      <x:c r="K16" s="18" t="s">
        <x:v>395</x:v>
      </x:c>
    </x:row>
    <x:row r="17" ht="140.10000610351562" customHeight="1">
      <x:c r="A17" s="18" t="s">
        <x:v>453</x:v>
      </x:c>
      <x:c r="B17" s="18" t="s">
        <x:v>454</x:v>
      </x:c>
      <x:c r="C17" s="18" t="s">
        <x:v>455</x:v>
      </x:c>
      <x:c r="D17" s="18"/>
      <x:c r="E17" s="18"/>
      <x:c r="F17" s="18" t="s">
        <x:v>390</x:v>
      </x:c>
      <x:c r="G17" s="18" t="s">
        <x:v>391</x:v>
      </x:c>
      <x:c r="H17" s="18" t="s">
        <x:v>392</x:v>
      </x:c>
      <x:c r="I17" s="18" t="s">
        <x:v>393</x:v>
      </x:c>
      <x:c r="J17" s="18" t="s">
        <x:v>394</x:v>
      </x:c>
      <x:c r="K17" s="18" t="s">
        <x:v>395</x:v>
      </x:c>
    </x:row>
    <x:row r="18" ht="140.10000610351562" customHeight="1">
      <x:c r="A18" s="18" t="s">
        <x:v>456</x:v>
      </x:c>
      <x:c r="B18" s="18" t="s">
        <x:v>457</x:v>
      </x:c>
      <x:c r="C18" s="18" t="s">
        <x:v>458</x:v>
      </x:c>
      <x:c r="D18" s="18"/>
      <x:c r="E18" s="18"/>
      <x:c r="F18" s="18" t="s">
        <x:v>390</x:v>
      </x:c>
      <x:c r="G18" s="18" t="s">
        <x:v>391</x:v>
      </x:c>
      <x:c r="H18" s="18" t="s">
        <x:v>392</x:v>
      </x:c>
      <x:c r="I18" s="18" t="s">
        <x:v>393</x:v>
      </x:c>
      <x:c r="J18" s="18" t="s">
        <x:v>394</x:v>
      </x:c>
      <x:c r="K18" s="18" t="s">
        <x:v>395</x:v>
      </x:c>
    </x:row>
    <x:row r="19" ht="300" customHeight="1">
      <x:c r="A19" s="18" t="s">
        <x:v>459</x:v>
      </x:c>
      <x:c r="B19" s="18" t="s">
        <x:v>460</x:v>
      </x:c>
      <x:c r="C19" s="18" t="s">
        <x:v>461</x:v>
      </x:c>
      <x:c r="D19" s="18" t="s">
        <x:v>462</x:v>
      </x:c>
      <x:c r="E19" s="18" t="s">
        <x:v>463</x:v>
      </x:c>
      <x:c r="F19" s="18" t="s">
        <x:v>464</x:v>
      </x:c>
      <x:c r="G19" s="18" t="s">
        <x:v>465</x:v>
      </x:c>
      <x:c r="H19" s="18" t="s">
        <x:v>466</x:v>
      </x:c>
      <x:c r="I19" s="18" t="s">
        <x:v>467</x:v>
      </x:c>
      <x:c r="J19" s="18" t="s">
        <x:v>468</x:v>
      </x:c>
      <x:c r="K19" s="18" t="s">
        <x:v>413</x:v>
      </x:c>
    </x:row>
    <x:row r="20" ht="300" customHeight="1">
      <x:c r="A20" s="18" t="s">
        <x:v>469</x:v>
      </x:c>
      <x:c r="B20" s="18" t="s">
        <x:v>470</x:v>
      </x:c>
      <x:c r="C20" s="18" t="s">
        <x:v>471</x:v>
      </x:c>
      <x:c r="D20" s="18" t="s">
        <x:v>472</x:v>
      </x:c>
      <x:c r="E20" s="18" t="s">
        <x:v>473</x:v>
      </x:c>
      <x:c r="F20" s="18" t="s">
        <x:v>474</x:v>
      </x:c>
      <x:c r="G20" s="18" t="s">
        <x:v>475</x:v>
      </x:c>
      <x:c r="H20" s="18" t="s">
        <x:v>476</x:v>
      </x:c>
      <x:c r="I20" s="18" t="s">
        <x:v>477</x:v>
      </x:c>
      <x:c r="J20" s="18" t="s">
        <x:v>478</x:v>
      </x:c>
      <x:c r="K20" s="18" t="s">
        <x:v>479</x:v>
      </x:c>
    </x:row>
    <x:row r="21" ht="300" customHeight="1">
      <x:c r="A21" s="18" t="s">
        <x:v>480</x:v>
      </x:c>
      <x:c r="B21" s="18" t="s">
        <x:v>481</x:v>
      </x:c>
      <x:c r="C21" s="18" t="s">
        <x:v>482</x:v>
      </x:c>
      <x:c r="D21" s="18" t="s">
        <x:v>483</x:v>
      </x:c>
      <x:c r="E21" s="18" t="s">
        <x:v>484</x:v>
      </x:c>
      <x:c r="F21" s="18" t="s">
        <x:v>485</x:v>
      </x:c>
      <x:c r="G21" s="18" t="s">
        <x:v>486</x:v>
      </x:c>
      <x:c r="H21" s="18" t="s">
        <x:v>476</x:v>
      </x:c>
      <x:c r="I21" s="18" t="s">
        <x:v>487</x:v>
      </x:c>
      <x:c r="J21" s="18" t="s">
        <x:v>488</x:v>
      </x:c>
      <x:c r="K21" s="18" t="s">
        <x:v>413</x:v>
      </x:c>
    </x:row>
    <x:row r="22" ht="300" customHeight="1">
      <x:c r="A22" s="18" t="s">
        <x:v>489</x:v>
      </x:c>
      <x:c r="B22" s="18" t="s">
        <x:v>490</x:v>
      </x:c>
      <x:c r="C22" s="18" t="s">
        <x:v>491</x:v>
      </x:c>
      <x:c r="D22" s="18" t="s">
        <x:v>483</x:v>
      </x:c>
      <x:c r="E22" s="18" t="s">
        <x:v>484</x:v>
      </x:c>
      <x:c r="F22" s="18" t="s">
        <x:v>492</x:v>
      </x:c>
      <x:c r="G22" s="18" t="s">
        <x:v>493</x:v>
      </x:c>
      <x:c r="H22" s="18" t="s">
        <x:v>476</x:v>
      </x:c>
      <x:c r="I22" s="18" t="s">
        <x:v>487</x:v>
      </x:c>
      <x:c r="J22" s="18" t="s">
        <x:v>494</x:v>
      </x:c>
      <x:c r="K22" s="18" t="s">
        <x:v>413</x:v>
      </x:c>
    </x:row>
    <x:row r="23" ht="300" customHeight="1">
      <x:c r="A23" s="18" t="s">
        <x:v>495</x:v>
      </x:c>
      <x:c r="B23" s="18" t="s">
        <x:v>496</x:v>
      </x:c>
      <x:c r="C23" s="18" t="s">
        <x:v>497</x:v>
      </x:c>
      <x:c r="D23" s="18" t="s">
        <x:v>498</x:v>
      </x:c>
      <x:c r="E23" s="18" t="s">
        <x:v>499</x:v>
      </x:c>
      <x:c r="F23" s="18" t="s">
        <x:v>500</x:v>
      </x:c>
      <x:c r="G23" s="18" t="s">
        <x:v>501</x:v>
      </x:c>
      <x:c r="H23" s="18" t="s">
        <x:v>476</x:v>
      </x:c>
      <x:c r="I23" s="18" t="s">
        <x:v>502</x:v>
      </x:c>
      <x:c r="J23" s="18" t="s">
        <x:v>503</x:v>
      </x:c>
      <x:c r="K23" s="18" t="s">
        <x:v>413</x:v>
      </x:c>
    </x:row>
    <x:row r="24" ht="300" customHeight="1">
      <x:c r="A24" s="18" t="s">
        <x:v>504</x:v>
      </x:c>
      <x:c r="B24" s="18" t="s">
        <x:v>505</x:v>
      </x:c>
      <x:c r="C24" s="18" t="s">
        <x:v>506</x:v>
      </x:c>
      <x:c r="D24" s="18" t="s">
        <x:v>483</x:v>
      </x:c>
      <x:c r="E24" s="18" t="s">
        <x:v>484</x:v>
      </x:c>
      <x:c r="F24" s="18" t="s">
        <x:v>507</x:v>
      </x:c>
      <x:c r="G24" s="18" t="s">
        <x:v>508</x:v>
      </x:c>
      <x:c r="H24" s="18" t="s">
        <x:v>476</x:v>
      </x:c>
      <x:c r="I24" s="18" t="s">
        <x:v>487</x:v>
      </x:c>
      <x:c r="J24" s="18" t="s">
        <x:v>509</x:v>
      </x:c>
      <x:c r="K24" s="18" t="s">
        <x:v>413</x:v>
      </x:c>
    </x:row>
    <x:row r="25" ht="140.10000610351562" customHeight="1">
      <x:c r="A25" s="18" t="s">
        <x:v>510</x:v>
      </x:c>
      <x:c r="B25" s="18" t="s">
        <x:v>511</x:v>
      </x:c>
      <x:c r="C25" s="18" t="s">
        <x:v>512</x:v>
      </x:c>
      <x:c r="D25" s="18"/>
      <x:c r="E25" s="18"/>
      <x:c r="F25" s="18" t="s">
        <x:v>390</x:v>
      </x:c>
      <x:c r="G25" s="18" t="s">
        <x:v>391</x:v>
      </x:c>
      <x:c r="H25" s="18" t="s">
        <x:v>392</x:v>
      </x:c>
      <x:c r="I25" s="18" t="s">
        <x:v>393</x:v>
      </x:c>
      <x:c r="J25" s="18" t="s">
        <x:v>394</x:v>
      </x:c>
      <x:c r="K25" s="18" t="s">
        <x:v>395</x:v>
      </x:c>
    </x:row>
    <x:row r="26" ht="140.10000610351562" customHeight="1">
      <x:c r="A26" s="18" t="s">
        <x:v>513</x:v>
      </x:c>
      <x:c r="B26" s="18" t="s">
        <x:v>514</x:v>
      </x:c>
      <x:c r="C26" s="18" t="s">
        <x:v>515</x:v>
      </x:c>
      <x:c r="D26" s="18"/>
      <x:c r="E26" s="18"/>
      <x:c r="F26" s="18" t="s">
        <x:v>390</x:v>
      </x:c>
      <x:c r="G26" s="18" t="s">
        <x:v>391</x:v>
      </x:c>
      <x:c r="H26" s="18" t="s">
        <x:v>392</x:v>
      </x:c>
      <x:c r="I26" s="18" t="s">
        <x:v>393</x:v>
      </x:c>
      <x:c r="J26" s="18" t="s">
        <x:v>394</x:v>
      </x:c>
      <x:c r="K26" s="18" t="s">
        <x:v>395</x:v>
      </x:c>
    </x:row>
    <x:row r="27" ht="140.10000610351562" customHeight="1">
      <x:c r="A27" s="18" t="s">
        <x:v>516</x:v>
      </x:c>
      <x:c r="B27" s="18" t="s">
        <x:v>517</x:v>
      </x:c>
      <x:c r="C27" s="18" t="s">
        <x:v>518</x:v>
      </x:c>
      <x:c r="D27" s="18"/>
      <x:c r="E27" s="18"/>
      <x:c r="F27" s="18" t="s">
        <x:v>390</x:v>
      </x:c>
      <x:c r="G27" s="18" t="s">
        <x:v>391</x:v>
      </x:c>
      <x:c r="H27" s="18" t="s">
        <x:v>392</x:v>
      </x:c>
      <x:c r="I27" s="18" t="s">
        <x:v>393</x:v>
      </x:c>
      <x:c r="J27" s="18" t="s">
        <x:v>394</x:v>
      </x:c>
      <x:c r="K27" s="18" t="s">
        <x:v>395</x:v>
      </x:c>
    </x:row>
    <x:row r="28" ht="140.10000610351562" customHeight="1">
      <x:c r="A28" s="18" t="s">
        <x:v>519</x:v>
      </x:c>
      <x:c r="B28" s="18" t="s">
        <x:v>520</x:v>
      </x:c>
      <x:c r="C28" s="18" t="s">
        <x:v>521</x:v>
      </x:c>
      <x:c r="D28" s="18"/>
      <x:c r="E28" s="18"/>
      <x:c r="F28" s="18" t="s">
        <x:v>390</x:v>
      </x:c>
      <x:c r="G28" s="18" t="s">
        <x:v>391</x:v>
      </x:c>
      <x:c r="H28" s="18" t="s">
        <x:v>392</x:v>
      </x:c>
      <x:c r="I28" s="18" t="s">
        <x:v>393</x:v>
      </x:c>
      <x:c r="J28" s="18" t="s">
        <x:v>394</x:v>
      </x:c>
      <x:c r="K28" s="18" t="s">
        <x:v>395</x:v>
      </x:c>
    </x:row>
    <x:row r="29" ht="140.10000610351562" customHeight="1">
      <x:c r="A29" s="18" t="s">
        <x:v>522</x:v>
      </x:c>
      <x:c r="B29" s="18" t="s">
        <x:v>523</x:v>
      </x:c>
      <x:c r="C29" s="18" t="s">
        <x:v>524</x:v>
      </x:c>
      <x:c r="D29" s="18"/>
      <x:c r="E29" s="18"/>
      <x:c r="F29" s="18" t="s">
        <x:v>390</x:v>
      </x:c>
      <x:c r="G29" s="18" t="s">
        <x:v>391</x:v>
      </x:c>
      <x:c r="H29" s="18" t="s">
        <x:v>392</x:v>
      </x:c>
      <x:c r="I29" s="18" t="s">
        <x:v>393</x:v>
      </x:c>
      <x:c r="J29" s="18" t="s">
        <x:v>394</x:v>
      </x:c>
      <x:c r="K29" s="18" t="s">
        <x:v>395</x:v>
      </x:c>
    </x:row>
    <x:row r="30" ht="140.10000610351562" customHeight="1">
      <x:c r="A30" s="18" t="s">
        <x:v>525</x:v>
      </x:c>
      <x:c r="B30" s="18" t="s">
        <x:v>526</x:v>
      </x:c>
      <x:c r="C30" s="18" t="s">
        <x:v>527</x:v>
      </x:c>
      <x:c r="D30" s="18"/>
      <x:c r="E30" s="18"/>
      <x:c r="F30" s="18" t="s">
        <x:v>390</x:v>
      </x:c>
      <x:c r="G30" s="18" t="s">
        <x:v>391</x:v>
      </x:c>
      <x:c r="H30" s="18" t="s">
        <x:v>392</x:v>
      </x:c>
      <x:c r="I30" s="18" t="s">
        <x:v>393</x:v>
      </x:c>
      <x:c r="J30" s="18" t="s">
        <x:v>394</x:v>
      </x:c>
      <x:c r="K30" s="18" t="s">
        <x:v>395</x:v>
      </x:c>
    </x:row>
    <x:row r="31" ht="140.10000610351562" customHeight="1">
      <x:c r="A31" s="18" t="s">
        <x:v>528</x:v>
      </x:c>
      <x:c r="B31" s="18" t="s">
        <x:v>529</x:v>
      </x:c>
      <x:c r="C31" s="18" t="s">
        <x:v>530</x:v>
      </x:c>
      <x:c r="D31" s="18"/>
      <x:c r="E31" s="18"/>
      <x:c r="F31" s="18" t="s">
        <x:v>390</x:v>
      </x:c>
      <x:c r="G31" s="18" t="s">
        <x:v>391</x:v>
      </x:c>
      <x:c r="H31" s="18" t="s">
        <x:v>392</x:v>
      </x:c>
      <x:c r="I31" s="18" t="s">
        <x:v>393</x:v>
      </x:c>
      <x:c r="J31" s="18" t="s">
        <x:v>394</x:v>
      </x:c>
      <x:c r="K31" s="18" t="s">
        <x:v>395</x:v>
      </x:c>
    </x:row>
    <x:row r="32" ht="140.10000610351562" customHeight="1">
      <x:c r="A32" s="18" t="s">
        <x:v>531</x:v>
      </x:c>
      <x:c r="B32" s="18" t="s">
        <x:v>532</x:v>
      </x:c>
      <x:c r="C32" s="18" t="s">
        <x:v>533</x:v>
      </x:c>
      <x:c r="D32" s="18"/>
      <x:c r="E32" s="18"/>
      <x:c r="F32" s="18" t="s">
        <x:v>390</x:v>
      </x:c>
      <x:c r="G32" s="18" t="s">
        <x:v>391</x:v>
      </x:c>
      <x:c r="H32" s="18" t="s">
        <x:v>392</x:v>
      </x:c>
      <x:c r="I32" s="18" t="s">
        <x:v>393</x:v>
      </x:c>
      <x:c r="J32" s="18" t="s">
        <x:v>394</x:v>
      </x:c>
      <x:c r="K32" s="18" t="s">
        <x:v>395</x:v>
      </x:c>
    </x:row>
    <x:row r="33" ht="140.10000610351562" customHeight="1">
      <x:c r="A33" s="18" t="s">
        <x:v>534</x:v>
      </x:c>
      <x:c r="B33" s="18" t="s">
        <x:v>535</x:v>
      </x:c>
      <x:c r="C33" s="18" t="s">
        <x:v>536</x:v>
      </x:c>
      <x:c r="D33" s="18"/>
      <x:c r="E33" s="18"/>
      <x:c r="F33" s="18" t="s">
        <x:v>390</x:v>
      </x:c>
      <x:c r="G33" s="18" t="s">
        <x:v>391</x:v>
      </x:c>
      <x:c r="H33" s="18" t="s">
        <x:v>392</x:v>
      </x:c>
      <x:c r="I33" s="18" t="s">
        <x:v>393</x:v>
      </x:c>
      <x:c r="J33" s="18" t="s">
        <x:v>394</x:v>
      </x:c>
      <x:c r="K33" s="18" t="s">
        <x:v>395</x:v>
      </x:c>
    </x:row>
    <x:row r="34" ht="140.10000610351562" customHeight="1">
      <x:c r="A34" s="18" t="s">
        <x:v>537</x:v>
      </x:c>
      <x:c r="B34" s="18" t="s">
        <x:v>538</x:v>
      </x:c>
      <x:c r="C34" s="18" t="s">
        <x:v>539</x:v>
      </x:c>
      <x:c r="D34" s="18"/>
      <x:c r="E34" s="18"/>
      <x:c r="F34" s="18" t="s">
        <x:v>390</x:v>
      </x:c>
      <x:c r="G34" s="18" t="s">
        <x:v>391</x:v>
      </x:c>
      <x:c r="H34" s="18" t="s">
        <x:v>392</x:v>
      </x:c>
      <x:c r="I34" s="18" t="s">
        <x:v>393</x:v>
      </x:c>
      <x:c r="J34" s="18" t="s">
        <x:v>394</x:v>
      </x:c>
      <x:c r="K34" s="18" t="s">
        <x:v>395</x:v>
      </x:c>
    </x:row>
    <x:row r="35" ht="140.10000610351562" customHeight="1">
      <x:c r="A35" s="18" t="s">
        <x:v>540</x:v>
      </x:c>
      <x:c r="B35" s="18" t="s">
        <x:v>541</x:v>
      </x:c>
      <x:c r="C35" s="18" t="s">
        <x:v>542</x:v>
      </x:c>
      <x:c r="D35" s="18"/>
      <x:c r="E35" s="18"/>
      <x:c r="F35" s="18" t="s">
        <x:v>390</x:v>
      </x:c>
      <x:c r="G35" s="18" t="s">
        <x:v>391</x:v>
      </x:c>
      <x:c r="H35" s="18" t="s">
        <x:v>392</x:v>
      </x:c>
      <x:c r="I35" s="18" t="s">
        <x:v>393</x:v>
      </x:c>
      <x:c r="J35" s="18" t="s">
        <x:v>394</x:v>
      </x:c>
      <x:c r="K35" s="18" t="s">
        <x:v>395</x:v>
      </x:c>
    </x:row>
    <x:row r="36" ht="140.10000610351562" customHeight="1">
      <x:c r="A36" s="18" t="s">
        <x:v>543</x:v>
      </x:c>
      <x:c r="B36" s="18" t="s">
        <x:v>544</x:v>
      </x:c>
      <x:c r="C36" s="18" t="s">
        <x:v>545</x:v>
      </x:c>
      <x:c r="D36" s="18"/>
      <x:c r="E36" s="18"/>
      <x:c r="F36" s="18" t="s">
        <x:v>390</x:v>
      </x:c>
      <x:c r="G36" s="18" t="s">
        <x:v>391</x:v>
      </x:c>
      <x:c r="H36" s="18" t="s">
        <x:v>392</x:v>
      </x:c>
      <x:c r="I36" s="18" t="s">
        <x:v>393</x:v>
      </x:c>
      <x:c r="J36" s="18" t="s">
        <x:v>394</x:v>
      </x:c>
      <x:c r="K36" s="18" t="s">
        <x:v>395</x:v>
      </x:c>
    </x:row>
    <x:row r="37" ht="140.10000610351562" customHeight="1">
      <x:c r="A37" s="18" t="s">
        <x:v>546</x:v>
      </x:c>
      <x:c r="B37" s="18" t="s">
        <x:v>547</x:v>
      </x:c>
      <x:c r="C37" s="18" t="s">
        <x:v>548</x:v>
      </x:c>
      <x:c r="D37" s="18"/>
      <x:c r="E37" s="18"/>
      <x:c r="F37" s="18" t="s">
        <x:v>390</x:v>
      </x:c>
      <x:c r="G37" s="18" t="s">
        <x:v>391</x:v>
      </x:c>
      <x:c r="H37" s="18" t="s">
        <x:v>392</x:v>
      </x:c>
      <x:c r="I37" s="18" t="s">
        <x:v>393</x:v>
      </x:c>
      <x:c r="J37" s="18" t="s">
        <x:v>394</x:v>
      </x:c>
      <x:c r="K37" s="18" t="s">
        <x:v>395</x:v>
      </x:c>
    </x:row>
    <x:row r="38" ht="140.10000610351562" customHeight="1">
      <x:c r="A38" s="18" t="s">
        <x:v>549</x:v>
      </x:c>
      <x:c r="B38" s="18" t="s">
        <x:v>550</x:v>
      </x:c>
      <x:c r="C38" s="18" t="s">
        <x:v>551</x:v>
      </x:c>
      <x:c r="D38" s="18"/>
      <x:c r="E38" s="18"/>
      <x:c r="F38" s="18" t="s">
        <x:v>390</x:v>
      </x:c>
      <x:c r="G38" s="18" t="s">
        <x:v>391</x:v>
      </x:c>
      <x:c r="H38" s="18" t="s">
        <x:v>392</x:v>
      </x:c>
      <x:c r="I38" s="18" t="s">
        <x:v>393</x:v>
      </x:c>
      <x:c r="J38" s="18" t="s">
        <x:v>394</x:v>
      </x:c>
      <x:c r="K38" s="18" t="s">
        <x:v>395</x:v>
      </x:c>
    </x:row>
    <x:row r="39" ht="140.10000610351562" customHeight="1">
      <x:c r="A39" s="18" t="s">
        <x:v>552</x:v>
      </x:c>
      <x:c r="B39" s="18" t="s">
        <x:v>553</x:v>
      </x:c>
      <x:c r="C39" s="18" t="s">
        <x:v>554</x:v>
      </x:c>
      <x:c r="D39" s="18"/>
      <x:c r="E39" s="18"/>
      <x:c r="F39" s="18" t="s">
        <x:v>390</x:v>
      </x:c>
      <x:c r="G39" s="18" t="s">
        <x:v>391</x:v>
      </x:c>
      <x:c r="H39" s="18" t="s">
        <x:v>392</x:v>
      </x:c>
      <x:c r="I39" s="18" t="s">
        <x:v>393</x:v>
      </x:c>
      <x:c r="J39" s="18" t="s">
        <x:v>394</x:v>
      </x:c>
      <x:c r="K39" s="18" t="s">
        <x:v>395</x:v>
      </x:c>
    </x:row>
    <x:row r="40" ht="140.10000610351562" customHeight="1">
      <x:c r="A40" s="18" t="s">
        <x:v>555</x:v>
      </x:c>
      <x:c r="B40" s="18" t="s">
        <x:v>556</x:v>
      </x:c>
      <x:c r="C40" s="18" t="s">
        <x:v>557</x:v>
      </x:c>
      <x:c r="D40" s="18"/>
      <x:c r="E40" s="18"/>
      <x:c r="F40" s="18" t="s">
        <x:v>390</x:v>
      </x:c>
      <x:c r="G40" s="18" t="s">
        <x:v>391</x:v>
      </x:c>
      <x:c r="H40" s="18" t="s">
        <x:v>392</x:v>
      </x:c>
      <x:c r="I40" s="18" t="s">
        <x:v>393</x:v>
      </x:c>
      <x:c r="J40" s="18" t="s">
        <x:v>394</x:v>
      </x:c>
      <x:c r="K40" s="18" t="s">
        <x:v>395</x:v>
      </x:c>
    </x:row>
    <x:row r="41" ht="140.10000610351562" customHeight="1">
      <x:c r="A41" s="18" t="s">
        <x:v>558</x:v>
      </x:c>
      <x:c r="B41" s="18" t="s">
        <x:v>559</x:v>
      </x:c>
      <x:c r="C41" s="18" t="s">
        <x:v>560</x:v>
      </x:c>
      <x:c r="D41" s="18"/>
      <x:c r="E41" s="18"/>
      <x:c r="F41" s="18" t="s">
        <x:v>390</x:v>
      </x:c>
      <x:c r="G41" s="18" t="s">
        <x:v>391</x:v>
      </x:c>
      <x:c r="H41" s="18" t="s">
        <x:v>392</x:v>
      </x:c>
      <x:c r="I41" s="18" t="s">
        <x:v>393</x:v>
      </x:c>
      <x:c r="J41" s="18" t="s">
        <x:v>394</x:v>
      </x:c>
      <x:c r="K41" s="18" t="s">
        <x:v>395</x:v>
      </x:c>
    </x:row>
    <x:row r="42" ht="140.10000610351562" customHeight="1">
      <x:c r="A42" s="18" t="s">
        <x:v>561</x:v>
      </x:c>
      <x:c r="B42" s="18" t="s">
        <x:v>562</x:v>
      </x:c>
      <x:c r="C42" s="18" t="s">
        <x:v>563</x:v>
      </x:c>
      <x:c r="D42" s="18"/>
      <x:c r="E42" s="18"/>
      <x:c r="F42" s="18" t="s">
        <x:v>390</x:v>
      </x:c>
      <x:c r="G42" s="18" t="s">
        <x:v>391</x:v>
      </x:c>
      <x:c r="H42" s="18" t="s">
        <x:v>392</x:v>
      </x:c>
      <x:c r="I42" s="18" t="s">
        <x:v>393</x:v>
      </x:c>
      <x:c r="J42" s="18" t="s">
        <x:v>394</x:v>
      </x:c>
      <x:c r="K42" s="18" t="s">
        <x:v>395</x:v>
      </x:c>
    </x:row>
    <x:row r="43" ht="140.10000610351562" customHeight="1">
      <x:c r="A43" s="18" t="s">
        <x:v>564</x:v>
      </x:c>
      <x:c r="B43" s="18" t="s">
        <x:v>565</x:v>
      </x:c>
      <x:c r="C43" s="18" t="s">
        <x:v>566</x:v>
      </x:c>
      <x:c r="D43" s="18"/>
      <x:c r="E43" s="18"/>
      <x:c r="F43" s="18" t="s">
        <x:v>390</x:v>
      </x:c>
      <x:c r="G43" s="18" t="s">
        <x:v>391</x:v>
      </x:c>
      <x:c r="H43" s="18" t="s">
        <x:v>392</x:v>
      </x:c>
      <x:c r="I43" s="18" t="s">
        <x:v>393</x:v>
      </x:c>
      <x:c r="J43" s="18" t="s">
        <x:v>394</x:v>
      </x:c>
      <x:c r="K43" s="18" t="s">
        <x:v>395</x:v>
      </x:c>
    </x:row>
    <x:row r="44" ht="140.10000610351562" customHeight="1">
      <x:c r="A44" s="18" t="s">
        <x:v>567</x:v>
      </x:c>
      <x:c r="B44" s="18" t="s">
        <x:v>568</x:v>
      </x:c>
      <x:c r="C44" s="18" t="s">
        <x:v>569</x:v>
      </x:c>
      <x:c r="D44" s="18"/>
      <x:c r="E44" s="18"/>
      <x:c r="F44" s="18" t="s">
        <x:v>390</x:v>
      </x:c>
      <x:c r="G44" s="18" t="s">
        <x:v>391</x:v>
      </x:c>
      <x:c r="H44" s="18" t="s">
        <x:v>392</x:v>
      </x:c>
      <x:c r="I44" s="18" t="s">
        <x:v>393</x:v>
      </x:c>
      <x:c r="J44" s="18" t="s">
        <x:v>394</x:v>
      </x:c>
      <x:c r="K44" s="18" t="s">
        <x:v>395</x:v>
      </x:c>
    </x:row>
    <x:row r="45" ht="140.10000610351562" customHeight="1">
      <x:c r="A45" s="18" t="s">
        <x:v>570</x:v>
      </x:c>
      <x:c r="B45" s="18" t="s">
        <x:v>571</x:v>
      </x:c>
      <x:c r="C45" s="18" t="s">
        <x:v>572</x:v>
      </x:c>
      <x:c r="D45" s="18"/>
      <x:c r="E45" s="18"/>
      <x:c r="F45" s="18" t="s">
        <x:v>390</x:v>
      </x:c>
      <x:c r="G45" s="18" t="s">
        <x:v>391</x:v>
      </x:c>
      <x:c r="H45" s="18" t="s">
        <x:v>392</x:v>
      </x:c>
      <x:c r="I45" s="18" t="s">
        <x:v>393</x:v>
      </x:c>
      <x:c r="J45" s="18" t="s">
        <x:v>394</x:v>
      </x:c>
      <x:c r="K45" s="18" t="s">
        <x:v>395</x:v>
      </x:c>
    </x:row>
    <x:row r="46" ht="140.10000610351562" customHeight="1">
      <x:c r="A46" s="18" t="s">
        <x:v>573</x:v>
      </x:c>
      <x:c r="B46" s="18" t="s">
        <x:v>574</x:v>
      </x:c>
      <x:c r="C46" s="18" t="s">
        <x:v>575</x:v>
      </x:c>
      <x:c r="D46" s="18"/>
      <x:c r="E46" s="18"/>
      <x:c r="F46" s="18" t="s">
        <x:v>390</x:v>
      </x:c>
      <x:c r="G46" s="18" t="s">
        <x:v>391</x:v>
      </x:c>
      <x:c r="H46" s="18" t="s">
        <x:v>392</x:v>
      </x:c>
      <x:c r="I46" s="18" t="s">
        <x:v>393</x:v>
      </x:c>
      <x:c r="J46" s="18" t="s">
        <x:v>394</x:v>
      </x:c>
      <x:c r="K46" s="18" t="s">
        <x:v>395</x:v>
      </x:c>
    </x:row>
    <x:row r="47" ht="140.10000610351562" customHeight="1">
      <x:c r="A47" s="18" t="s">
        <x:v>576</x:v>
      </x:c>
      <x:c r="B47" s="18" t="s">
        <x:v>577</x:v>
      </x:c>
      <x:c r="C47" s="18" t="s">
        <x:v>578</x:v>
      </x:c>
      <x:c r="D47" s="18"/>
      <x:c r="E47" s="18"/>
      <x:c r="F47" s="18" t="s">
        <x:v>390</x:v>
      </x:c>
      <x:c r="G47" s="18" t="s">
        <x:v>391</x:v>
      </x:c>
      <x:c r="H47" s="18" t="s">
        <x:v>392</x:v>
      </x:c>
      <x:c r="I47" s="18" t="s">
        <x:v>393</x:v>
      </x:c>
      <x:c r="J47" s="18" t="s">
        <x:v>394</x:v>
      </x:c>
      <x:c r="K47" s="18" t="s">
        <x:v>395</x:v>
      </x:c>
    </x:row>
    <x:row r="48" ht="140.10000610351562" customHeight="1">
      <x:c r="A48" s="18" t="s">
        <x:v>579</x:v>
      </x:c>
      <x:c r="B48" s="18" t="s">
        <x:v>580</x:v>
      </x:c>
      <x:c r="C48" s="18" t="s">
        <x:v>581</x:v>
      </x:c>
      <x:c r="D48" s="18"/>
      <x:c r="E48" s="18"/>
      <x:c r="F48" s="18" t="s">
        <x:v>390</x:v>
      </x:c>
      <x:c r="G48" s="18" t="s">
        <x:v>391</x:v>
      </x:c>
      <x:c r="H48" s="18" t="s">
        <x:v>392</x:v>
      </x:c>
      <x:c r="I48" s="18" t="s">
        <x:v>393</x:v>
      </x:c>
      <x:c r="J48" s="18" t="s">
        <x:v>394</x:v>
      </x:c>
      <x:c r="K48" s="18" t="s">
        <x:v>395</x:v>
      </x:c>
    </x:row>
    <x:row r="49" ht="140.10000610351562" customHeight="1">
      <x:c r="A49" s="18" t="s">
        <x:v>582</x:v>
      </x:c>
      <x:c r="B49" s="18" t="s">
        <x:v>583</x:v>
      </x:c>
      <x:c r="C49" s="18" t="s">
        <x:v>584</x:v>
      </x:c>
      <x:c r="D49" s="18"/>
      <x:c r="E49" s="18"/>
      <x:c r="F49" s="18" t="s">
        <x:v>390</x:v>
      </x:c>
      <x:c r="G49" s="18" t="s">
        <x:v>391</x:v>
      </x:c>
      <x:c r="H49" s="18" t="s">
        <x:v>392</x:v>
      </x:c>
      <x:c r="I49" s="18" t="s">
        <x:v>393</x:v>
      </x:c>
      <x:c r="J49" s="18" t="s">
        <x:v>394</x:v>
      </x:c>
      <x:c r="K49" s="18" t="s">
        <x:v>395</x:v>
      </x:c>
    </x:row>
    <x:row r="50" ht="140.10000610351562" customHeight="1">
      <x:c r="A50" s="18" t="s">
        <x:v>585</x:v>
      </x:c>
      <x:c r="B50" s="18" t="s">
        <x:v>586</x:v>
      </x:c>
      <x:c r="C50" s="18" t="s">
        <x:v>587</x:v>
      </x:c>
      <x:c r="D50" s="18"/>
      <x:c r="E50" s="18"/>
      <x:c r="F50" s="18" t="s">
        <x:v>390</x:v>
      </x:c>
      <x:c r="G50" s="18" t="s">
        <x:v>391</x:v>
      </x:c>
      <x:c r="H50" s="18" t="s">
        <x:v>392</x:v>
      </x:c>
      <x:c r="I50" s="18" t="s">
        <x:v>393</x:v>
      </x:c>
      <x:c r="J50" s="18" t="s">
        <x:v>394</x:v>
      </x:c>
      <x:c r="K50" s="18" t="s">
        <x:v>395</x:v>
      </x:c>
    </x:row>
    <x:row r="51" ht="140.10000610351562" customHeight="1">
      <x:c r="A51" s="18" t="s">
        <x:v>588</x:v>
      </x:c>
      <x:c r="B51" s="18" t="s">
        <x:v>589</x:v>
      </x:c>
      <x:c r="C51" s="18" t="s">
        <x:v>590</x:v>
      </x:c>
      <x:c r="D51" s="18"/>
      <x:c r="E51" s="18"/>
      <x:c r="F51" s="18" t="s">
        <x:v>390</x:v>
      </x:c>
      <x:c r="G51" s="18" t="s">
        <x:v>391</x:v>
      </x:c>
      <x:c r="H51" s="18" t="s">
        <x:v>392</x:v>
      </x:c>
      <x:c r="I51" s="18" t="s">
        <x:v>393</x:v>
      </x:c>
      <x:c r="J51" s="18" t="s">
        <x:v>394</x:v>
      </x:c>
      <x:c r="K51" s="18" t="s">
        <x:v>395</x:v>
      </x:c>
    </x:row>
    <x:row r="52" ht="140.10000610351562" customHeight="1">
      <x:c r="A52" s="18" t="s">
        <x:v>591</x:v>
      </x:c>
      <x:c r="B52" s="18" t="s">
        <x:v>592</x:v>
      </x:c>
      <x:c r="C52" s="18" t="s">
        <x:v>593</x:v>
      </x:c>
      <x:c r="D52" s="18"/>
      <x:c r="E52" s="18"/>
      <x:c r="F52" s="18" t="s">
        <x:v>390</x:v>
      </x:c>
      <x:c r="G52" s="18" t="s">
        <x:v>391</x:v>
      </x:c>
      <x:c r="H52" s="18" t="s">
        <x:v>392</x:v>
      </x:c>
      <x:c r="I52" s="18" t="s">
        <x:v>393</x:v>
      </x:c>
      <x:c r="J52" s="18" t="s">
        <x:v>394</x:v>
      </x:c>
      <x:c r="K52" s="18" t="s">
        <x:v>395</x:v>
      </x:c>
    </x:row>
    <x:row r="53" ht="140.10000610351562" customHeight="1">
      <x:c r="A53" s="18" t="s">
        <x:v>594</x:v>
      </x:c>
      <x:c r="B53" s="18" t="s">
        <x:v>595</x:v>
      </x:c>
      <x:c r="C53" s="18" t="s">
        <x:v>596</x:v>
      </x:c>
      <x:c r="D53" s="18"/>
      <x:c r="E53" s="18"/>
      <x:c r="F53" s="18" t="s">
        <x:v>390</x:v>
      </x:c>
      <x:c r="G53" s="18" t="s">
        <x:v>391</x:v>
      </x:c>
      <x:c r="H53" s="18" t="s">
        <x:v>392</x:v>
      </x:c>
      <x:c r="I53" s="18" t="s">
        <x:v>393</x:v>
      </x:c>
      <x:c r="J53" s="18" t="s">
        <x:v>394</x:v>
      </x:c>
      <x:c r="K53" s="18" t="s">
        <x:v>395</x:v>
      </x:c>
    </x:row>
    <x:row r="54" ht="140.10000610351562" customHeight="1">
      <x:c r="A54" s="18" t="s">
        <x:v>597</x:v>
      </x:c>
      <x:c r="B54" s="18" t="s">
        <x:v>598</x:v>
      </x:c>
      <x:c r="C54" s="18" t="s">
        <x:v>599</x:v>
      </x:c>
      <x:c r="D54" s="18"/>
      <x:c r="E54" s="18"/>
      <x:c r="F54" s="18" t="s">
        <x:v>390</x:v>
      </x:c>
      <x:c r="G54" s="18" t="s">
        <x:v>391</x:v>
      </x:c>
      <x:c r="H54" s="18" t="s">
        <x:v>392</x:v>
      </x:c>
      <x:c r="I54" s="18" t="s">
        <x:v>393</x:v>
      </x:c>
      <x:c r="J54" s="18" t="s">
        <x:v>394</x:v>
      </x:c>
      <x:c r="K54" s="18" t="s">
        <x:v>395</x:v>
      </x:c>
    </x:row>
    <x:row r="55" ht="140.10000610351562" customHeight="1">
      <x:c r="A55" s="18" t="s">
        <x:v>600</x:v>
      </x:c>
      <x:c r="B55" s="18" t="s">
        <x:v>601</x:v>
      </x:c>
      <x:c r="C55" s="18" t="s">
        <x:v>602</x:v>
      </x:c>
      <x:c r="D55" s="18"/>
      <x:c r="E55" s="18"/>
      <x:c r="F55" s="18" t="s">
        <x:v>390</x:v>
      </x:c>
      <x:c r="G55" s="18" t="s">
        <x:v>391</x:v>
      </x:c>
      <x:c r="H55" s="18" t="s">
        <x:v>392</x:v>
      </x:c>
      <x:c r="I55" s="18" t="s">
        <x:v>393</x:v>
      </x:c>
      <x:c r="J55" s="18" t="s">
        <x:v>394</x:v>
      </x:c>
      <x:c r="K55" s="18" t="s">
        <x:v>395</x:v>
      </x:c>
    </x:row>
    <x:row r="56" ht="140.10000610351562" customHeight="1">
      <x:c r="A56" s="18" t="s">
        <x:v>603</x:v>
      </x:c>
      <x:c r="B56" s="18" t="s">
        <x:v>604</x:v>
      </x:c>
      <x:c r="C56" s="18" t="s">
        <x:v>605</x:v>
      </x:c>
      <x:c r="D56" s="18"/>
      <x:c r="E56" s="18"/>
      <x:c r="F56" s="18" t="s">
        <x:v>390</x:v>
      </x:c>
      <x:c r="G56" s="18" t="s">
        <x:v>391</x:v>
      </x:c>
      <x:c r="H56" s="18" t="s">
        <x:v>392</x:v>
      </x:c>
      <x:c r="I56" s="18" t="s">
        <x:v>393</x:v>
      </x:c>
      <x:c r="J56" s="18" t="s">
        <x:v>394</x:v>
      </x:c>
      <x:c r="K56" s="18" t="s">
        <x:v>395</x:v>
      </x:c>
    </x:row>
    <x:row r="57" ht="140.10000610351562" customHeight="1">
      <x:c r="A57" s="18" t="s">
        <x:v>606</x:v>
      </x:c>
      <x:c r="B57" s="18" t="s">
        <x:v>607</x:v>
      </x:c>
      <x:c r="C57" s="18" t="s">
        <x:v>608</x:v>
      </x:c>
      <x:c r="D57" s="18"/>
      <x:c r="E57" s="18"/>
      <x:c r="F57" s="18" t="s">
        <x:v>390</x:v>
      </x:c>
      <x:c r="G57" s="18" t="s">
        <x:v>391</x:v>
      </x:c>
      <x:c r="H57" s="18" t="s">
        <x:v>392</x:v>
      </x:c>
      <x:c r="I57" s="18" t="s">
        <x:v>393</x:v>
      </x:c>
      <x:c r="J57" s="18" t="s">
        <x:v>394</x:v>
      </x:c>
      <x:c r="K57" s="18" t="s">
        <x:v>395</x:v>
      </x:c>
    </x:row>
    <x:row r="58" ht="140.10000610351562" customHeight="1">
      <x:c r="A58" s="18" t="s">
        <x:v>609</x:v>
      </x:c>
      <x:c r="B58" s="18" t="s">
        <x:v>610</x:v>
      </x:c>
      <x:c r="C58" s="18" t="s">
        <x:v>611</x:v>
      </x:c>
      <x:c r="D58" s="18"/>
      <x:c r="E58" s="18"/>
      <x:c r="F58" s="18" t="s">
        <x:v>390</x:v>
      </x:c>
      <x:c r="G58" s="18" t="s">
        <x:v>391</x:v>
      </x:c>
      <x:c r="H58" s="18" t="s">
        <x:v>392</x:v>
      </x:c>
      <x:c r="I58" s="18" t="s">
        <x:v>393</x:v>
      </x:c>
      <x:c r="J58" s="18" t="s">
        <x:v>394</x:v>
      </x:c>
      <x:c r="K58" s="18" t="s">
        <x:v>395</x:v>
      </x:c>
    </x:row>
    <x:row r="59" ht="140.10000610351562" customHeight="1">
      <x:c r="A59" s="18" t="s">
        <x:v>612</x:v>
      </x:c>
      <x:c r="B59" s="18" t="s">
        <x:v>613</x:v>
      </x:c>
      <x:c r="C59" s="18" t="s">
        <x:v>614</x:v>
      </x:c>
      <x:c r="D59" s="18"/>
      <x:c r="E59" s="18"/>
      <x:c r="F59" s="18" t="s">
        <x:v>390</x:v>
      </x:c>
      <x:c r="G59" s="18" t="s">
        <x:v>391</x:v>
      </x:c>
      <x:c r="H59" s="18" t="s">
        <x:v>392</x:v>
      </x:c>
      <x:c r="I59" s="18" t="s">
        <x:v>393</x:v>
      </x:c>
      <x:c r="J59" s="18" t="s">
        <x:v>394</x:v>
      </x:c>
      <x:c r="K59" s="18" t="s">
        <x:v>395</x:v>
      </x:c>
    </x:row>
    <x:row r="60" ht="140.10000610351562" customHeight="1">
      <x:c r="A60" s="18" t="s">
        <x:v>615</x:v>
      </x:c>
      <x:c r="B60" s="18" t="s">
        <x:v>616</x:v>
      </x:c>
      <x:c r="C60" s="18" t="s">
        <x:v>617</x:v>
      </x:c>
      <x:c r="D60" s="18"/>
      <x:c r="E60" s="18"/>
      <x:c r="F60" s="18" t="s">
        <x:v>390</x:v>
      </x:c>
      <x:c r="G60" s="18" t="s">
        <x:v>391</x:v>
      </x:c>
      <x:c r="H60" s="18" t="s">
        <x:v>392</x:v>
      </x:c>
      <x:c r="I60" s="18" t="s">
        <x:v>393</x:v>
      </x:c>
      <x:c r="J60" s="18" t="s">
        <x:v>394</x:v>
      </x:c>
      <x:c r="K60" s="18" t="s">
        <x:v>395</x:v>
      </x:c>
    </x:row>
    <x:row r="61" ht="140.10000610351562" customHeight="1">
      <x:c r="A61" s="18" t="s">
        <x:v>618</x:v>
      </x:c>
      <x:c r="B61" s="18" t="s">
        <x:v>619</x:v>
      </x:c>
      <x:c r="C61" s="18" t="s">
        <x:v>620</x:v>
      </x:c>
      <x:c r="D61" s="18"/>
      <x:c r="E61" s="18"/>
      <x:c r="F61" s="18" t="s">
        <x:v>390</x:v>
      </x:c>
      <x:c r="G61" s="18" t="s">
        <x:v>391</x:v>
      </x:c>
      <x:c r="H61" s="18" t="s">
        <x:v>392</x:v>
      </x:c>
      <x:c r="I61" s="18" t="s">
        <x:v>393</x:v>
      </x:c>
      <x:c r="J61" s="18" t="s">
        <x:v>394</x:v>
      </x:c>
      <x:c r="K61" s="18" t="s">
        <x:v>395</x:v>
      </x:c>
    </x:row>
    <x:row r="62" ht="140.10000610351562" customHeight="1">
      <x:c r="A62" s="18" t="s">
        <x:v>621</x:v>
      </x:c>
      <x:c r="B62" s="18" t="s">
        <x:v>622</x:v>
      </x:c>
      <x:c r="C62" s="18" t="s">
        <x:v>623</x:v>
      </x:c>
      <x:c r="D62" s="18"/>
      <x:c r="E62" s="18"/>
      <x:c r="F62" s="18" t="s">
        <x:v>390</x:v>
      </x:c>
      <x:c r="G62" s="18" t="s">
        <x:v>391</x:v>
      </x:c>
      <x:c r="H62" s="18" t="s">
        <x:v>392</x:v>
      </x:c>
      <x:c r="I62" s="18" t="s">
        <x:v>393</x:v>
      </x:c>
      <x:c r="J62" s="18" t="s">
        <x:v>394</x:v>
      </x:c>
      <x:c r="K62" s="18" t="s">
        <x:v>395</x:v>
      </x:c>
    </x:row>
    <x:row r="63" ht="140.10000610351562" customHeight="1">
      <x:c r="A63" s="18" t="s">
        <x:v>624</x:v>
      </x:c>
      <x:c r="B63" s="18" t="s">
        <x:v>625</x:v>
      </x:c>
      <x:c r="C63" s="18" t="s">
        <x:v>626</x:v>
      </x:c>
      <x:c r="D63" s="18"/>
      <x:c r="E63" s="18"/>
      <x:c r="F63" s="18" t="s">
        <x:v>390</x:v>
      </x:c>
      <x:c r="G63" s="18" t="s">
        <x:v>391</x:v>
      </x:c>
      <x:c r="H63" s="18" t="s">
        <x:v>392</x:v>
      </x:c>
      <x:c r="I63" s="18" t="s">
        <x:v>393</x:v>
      </x:c>
      <x:c r="J63" s="18" t="s">
        <x:v>394</x:v>
      </x:c>
      <x:c r="K63" s="18" t="s">
        <x:v>395</x:v>
      </x:c>
    </x:row>
    <x:row r="64" ht="140.10000610351562" customHeight="1">
      <x:c r="A64" s="18" t="s">
        <x:v>627</x:v>
      </x:c>
      <x:c r="B64" s="18" t="s">
        <x:v>628</x:v>
      </x:c>
      <x:c r="C64" s="18" t="s">
        <x:v>629</x:v>
      </x:c>
      <x:c r="D64" s="18"/>
      <x:c r="E64" s="18"/>
      <x:c r="F64" s="18" t="s">
        <x:v>390</x:v>
      </x:c>
      <x:c r="G64" s="18" t="s">
        <x:v>391</x:v>
      </x:c>
      <x:c r="H64" s="18" t="s">
        <x:v>392</x:v>
      </x:c>
      <x:c r="I64" s="18" t="s">
        <x:v>393</x:v>
      </x:c>
      <x:c r="J64" s="18" t="s">
        <x:v>394</x:v>
      </x:c>
      <x:c r="K64" s="18" t="s">
        <x:v>395</x:v>
      </x:c>
    </x:row>
    <x:row r="65" ht="140.10000610351562" customHeight="1">
      <x:c r="A65" s="18" t="s">
        <x:v>630</x:v>
      </x:c>
      <x:c r="B65" s="18" t="s">
        <x:v>631</x:v>
      </x:c>
      <x:c r="C65" s="18" t="s">
        <x:v>632</x:v>
      </x:c>
      <x:c r="D65" s="18"/>
      <x:c r="E65" s="18"/>
      <x:c r="F65" s="18" t="s">
        <x:v>390</x:v>
      </x:c>
      <x:c r="G65" s="18" t="s">
        <x:v>391</x:v>
      </x:c>
      <x:c r="H65" s="18" t="s">
        <x:v>392</x:v>
      </x:c>
      <x:c r="I65" s="18" t="s">
        <x:v>393</x:v>
      </x:c>
      <x:c r="J65" s="18" t="s">
        <x:v>394</x:v>
      </x:c>
      <x:c r="K65" s="18" t="s">
        <x:v>395</x:v>
      </x:c>
    </x:row>
    <x:row r="66" ht="140.10000610351562" customHeight="1">
      <x:c r="A66" s="18" t="s">
        <x:v>633</x:v>
      </x:c>
      <x:c r="B66" s="18" t="s">
        <x:v>634</x:v>
      </x:c>
      <x:c r="C66" s="18" t="s">
        <x:v>635</x:v>
      </x:c>
      <x:c r="D66" s="18"/>
      <x:c r="E66" s="18"/>
      <x:c r="F66" s="18" t="s">
        <x:v>390</x:v>
      </x:c>
      <x:c r="G66" s="18" t="s">
        <x:v>391</x:v>
      </x:c>
      <x:c r="H66" s="18" t="s">
        <x:v>392</x:v>
      </x:c>
      <x:c r="I66" s="18" t="s">
        <x:v>393</x:v>
      </x:c>
      <x:c r="J66" s="18" t="s">
        <x:v>394</x:v>
      </x:c>
      <x:c r="K66" s="18" t="s">
        <x:v>395</x:v>
      </x:c>
    </x:row>
    <x:row r="67" ht="140.10000610351562" customHeight="1">
      <x:c r="A67" s="18" t="s">
        <x:v>636</x:v>
      </x:c>
      <x:c r="B67" s="18" t="s">
        <x:v>637</x:v>
      </x:c>
      <x:c r="C67" s="18" t="s">
        <x:v>638</x:v>
      </x:c>
      <x:c r="D67" s="18"/>
      <x:c r="E67" s="18"/>
      <x:c r="F67" s="18" t="s">
        <x:v>390</x:v>
      </x:c>
      <x:c r="G67" s="18" t="s">
        <x:v>391</x:v>
      </x:c>
      <x:c r="H67" s="18" t="s">
        <x:v>392</x:v>
      </x:c>
      <x:c r="I67" s="18" t="s">
        <x:v>393</x:v>
      </x:c>
      <x:c r="J67" s="18" t="s">
        <x:v>394</x:v>
      </x:c>
      <x:c r="K67" s="18" t="s">
        <x:v>395</x:v>
      </x:c>
    </x:row>
    <x:row r="68" ht="140.10000610351562" customHeight="1">
      <x:c r="A68" s="18" t="s">
        <x:v>639</x:v>
      </x:c>
      <x:c r="B68" s="18" t="s">
        <x:v>640</x:v>
      </x:c>
      <x:c r="C68" s="18" t="s">
        <x:v>641</x:v>
      </x:c>
      <x:c r="D68" s="18"/>
      <x:c r="E68" s="18"/>
      <x:c r="F68" s="18" t="s">
        <x:v>390</x:v>
      </x:c>
      <x:c r="G68" s="18" t="s">
        <x:v>391</x:v>
      </x:c>
      <x:c r="H68" s="18" t="s">
        <x:v>392</x:v>
      </x:c>
      <x:c r="I68" s="18" t="s">
        <x:v>393</x:v>
      </x:c>
      <x:c r="J68" s="18" t="s">
        <x:v>394</x:v>
      </x:c>
      <x:c r="K68" s="18" t="s">
        <x:v>395</x:v>
      </x:c>
    </x:row>
    <x:row r="69" ht="140.10000610351562" customHeight="1">
      <x:c r="A69" s="18" t="s">
        <x:v>642</x:v>
      </x:c>
      <x:c r="B69" s="18" t="s">
        <x:v>643</x:v>
      </x:c>
      <x:c r="C69" s="18" t="s">
        <x:v>644</x:v>
      </x:c>
      <x:c r="D69" s="18"/>
      <x:c r="E69" s="18"/>
      <x:c r="F69" s="18" t="s">
        <x:v>390</x:v>
      </x:c>
      <x:c r="G69" s="18" t="s">
        <x:v>391</x:v>
      </x:c>
      <x:c r="H69" s="18" t="s">
        <x:v>392</x:v>
      </x:c>
      <x:c r="I69" s="18" t="s">
        <x:v>393</x:v>
      </x:c>
      <x:c r="J69" s="18" t="s">
        <x:v>394</x:v>
      </x:c>
      <x:c r="K69" s="18" t="s">
        <x:v>395</x:v>
      </x:c>
    </x:row>
    <x:row r="70" ht="140.10000610351562" customHeight="1">
      <x:c r="A70" s="18" t="s">
        <x:v>645</x:v>
      </x:c>
      <x:c r="B70" s="18" t="s">
        <x:v>646</x:v>
      </x:c>
      <x:c r="C70" s="18" t="s">
        <x:v>647</x:v>
      </x:c>
      <x:c r="D70" s="18"/>
      <x:c r="E70" s="18"/>
      <x:c r="F70" s="18" t="s">
        <x:v>390</x:v>
      </x:c>
      <x:c r="G70" s="18" t="s">
        <x:v>391</x:v>
      </x:c>
      <x:c r="H70" s="18" t="s">
        <x:v>392</x:v>
      </x:c>
      <x:c r="I70" s="18" t="s">
        <x:v>393</x:v>
      </x:c>
      <x:c r="J70" s="18" t="s">
        <x:v>394</x:v>
      </x:c>
      <x:c r="K70" s="18" t="s">
        <x:v>395</x:v>
      </x:c>
    </x:row>
    <x:row r="71" ht="140.10000610351562" customHeight="1">
      <x:c r="A71" s="18" t="s">
        <x:v>648</x:v>
      </x:c>
      <x:c r="B71" s="18" t="s">
        <x:v>649</x:v>
      </x:c>
      <x:c r="C71" s="18" t="s">
        <x:v>650</x:v>
      </x:c>
      <x:c r="D71" s="18"/>
      <x:c r="E71" s="18"/>
      <x:c r="F71" s="18" t="s">
        <x:v>390</x:v>
      </x:c>
      <x:c r="G71" s="18" t="s">
        <x:v>391</x:v>
      </x:c>
      <x:c r="H71" s="18" t="s">
        <x:v>392</x:v>
      </x:c>
      <x:c r="I71" s="18" t="s">
        <x:v>393</x:v>
      </x:c>
      <x:c r="J71" s="18" t="s">
        <x:v>394</x:v>
      </x:c>
      <x:c r="K71" s="18" t="s">
        <x:v>395</x:v>
      </x:c>
    </x:row>
    <x:row r="72" ht="140.10000610351562" customHeight="1">
      <x:c r="A72" s="18" t="s">
        <x:v>651</x:v>
      </x:c>
      <x:c r="B72" s="18" t="s">
        <x:v>652</x:v>
      </x:c>
      <x:c r="C72" s="18" t="s">
        <x:v>653</x:v>
      </x:c>
      <x:c r="D72" s="18"/>
      <x:c r="E72" s="18"/>
      <x:c r="F72" s="18" t="s">
        <x:v>390</x:v>
      </x:c>
      <x:c r="G72" s="18" t="s">
        <x:v>391</x:v>
      </x:c>
      <x:c r="H72" s="18" t="s">
        <x:v>392</x:v>
      </x:c>
      <x:c r="I72" s="18" t="s">
        <x:v>393</x:v>
      </x:c>
      <x:c r="J72" s="18" t="s">
        <x:v>394</x:v>
      </x:c>
      <x:c r="K72" s="18" t="s">
        <x:v>395</x:v>
      </x:c>
    </x:row>
    <x:row r="73" ht="140.10000610351562" customHeight="1">
      <x:c r="A73" s="18" t="s">
        <x:v>654</x:v>
      </x:c>
      <x:c r="B73" s="18" t="s">
        <x:v>655</x:v>
      </x:c>
      <x:c r="C73" s="18" t="s">
        <x:v>656</x:v>
      </x:c>
      <x:c r="D73" s="18"/>
      <x:c r="E73" s="18"/>
      <x:c r="F73" s="18" t="s">
        <x:v>390</x:v>
      </x:c>
      <x:c r="G73" s="18" t="s">
        <x:v>391</x:v>
      </x:c>
      <x:c r="H73" s="18" t="s">
        <x:v>392</x:v>
      </x:c>
      <x:c r="I73" s="18" t="s">
        <x:v>393</x:v>
      </x:c>
      <x:c r="J73" s="18" t="s">
        <x:v>394</x:v>
      </x:c>
      <x:c r="K73" s="18" t="s">
        <x:v>395</x:v>
      </x:c>
    </x:row>
    <x:row r="74" ht="140.10000610351562" customHeight="1">
      <x:c r="A74" s="18" t="s">
        <x:v>657</x:v>
      </x:c>
      <x:c r="B74" s="18" t="s">
        <x:v>658</x:v>
      </x:c>
      <x:c r="C74" s="18" t="s">
        <x:v>659</x:v>
      </x:c>
      <x:c r="D74" s="18"/>
      <x:c r="E74" s="18"/>
      <x:c r="F74" s="18" t="s">
        <x:v>390</x:v>
      </x:c>
      <x:c r="G74" s="18" t="s">
        <x:v>391</x:v>
      </x:c>
      <x:c r="H74" s="18" t="s">
        <x:v>392</x:v>
      </x:c>
      <x:c r="I74" s="18" t="s">
        <x:v>393</x:v>
      </x:c>
      <x:c r="J74" s="18" t="s">
        <x:v>394</x:v>
      </x:c>
      <x:c r="K74" s="18" t="s">
        <x:v>395</x:v>
      </x:c>
    </x:row>
    <x:row r="75" ht="140.10000610351562" customHeight="1">
      <x:c r="A75" s="18" t="s">
        <x:v>660</x:v>
      </x:c>
      <x:c r="B75" s="18" t="s">
        <x:v>661</x:v>
      </x:c>
      <x:c r="C75" s="18" t="s">
        <x:v>662</x:v>
      </x:c>
      <x:c r="D75" s="18"/>
      <x:c r="E75" s="18"/>
      <x:c r="F75" s="18" t="s">
        <x:v>390</x:v>
      </x:c>
      <x:c r="G75" s="18" t="s">
        <x:v>391</x:v>
      </x:c>
      <x:c r="H75" s="18" t="s">
        <x:v>392</x:v>
      </x:c>
      <x:c r="I75" s="18" t="s">
        <x:v>393</x:v>
      </x:c>
      <x:c r="J75" s="18" t="s">
        <x:v>394</x:v>
      </x:c>
      <x:c r="K75" s="18" t="s">
        <x:v>395</x:v>
      </x:c>
    </x:row>
    <x:row r="76" ht="140.10000610351562" customHeight="1">
      <x:c r="A76" s="18" t="s">
        <x:v>663</x:v>
      </x:c>
      <x:c r="B76" s="18" t="s">
        <x:v>664</x:v>
      </x:c>
      <x:c r="C76" s="18" t="s">
        <x:v>665</x:v>
      </x:c>
      <x:c r="D76" s="18"/>
      <x:c r="E76" s="18"/>
      <x:c r="F76" s="18" t="s">
        <x:v>390</x:v>
      </x:c>
      <x:c r="G76" s="18" t="s">
        <x:v>391</x:v>
      </x:c>
      <x:c r="H76" s="18" t="s">
        <x:v>392</x:v>
      </x:c>
      <x:c r="I76" s="18" t="s">
        <x:v>393</x:v>
      </x:c>
      <x:c r="J76" s="18" t="s">
        <x:v>394</x:v>
      </x:c>
      <x:c r="K76" s="18" t="s">
        <x:v>395</x:v>
      </x:c>
    </x:row>
    <x:row r="77" ht="140.10000610351562" customHeight="1">
      <x:c r="A77" s="18" t="s">
        <x:v>666</x:v>
      </x:c>
      <x:c r="B77" s="18" t="s">
        <x:v>667</x:v>
      </x:c>
      <x:c r="C77" s="18" t="s">
        <x:v>668</x:v>
      </x:c>
      <x:c r="D77" s="18"/>
      <x:c r="E77" s="18"/>
      <x:c r="F77" s="18" t="s">
        <x:v>390</x:v>
      </x:c>
      <x:c r="G77" s="18" t="s">
        <x:v>391</x:v>
      </x:c>
      <x:c r="H77" s="18" t="s">
        <x:v>392</x:v>
      </x:c>
      <x:c r="I77" s="18" t="s">
        <x:v>393</x:v>
      </x:c>
      <x:c r="J77" s="18" t="s">
        <x:v>394</x:v>
      </x:c>
      <x:c r="K77" s="18" t="s">
        <x:v>395</x:v>
      </x:c>
    </x:row>
    <x:row r="78" ht="140.10000610351562" customHeight="1">
      <x:c r="A78" s="18" t="s">
        <x:v>669</x:v>
      </x:c>
      <x:c r="B78" s="18" t="s">
        <x:v>670</x:v>
      </x:c>
      <x:c r="C78" s="18" t="s">
        <x:v>671</x:v>
      </x:c>
      <x:c r="D78" s="18"/>
      <x:c r="E78" s="18"/>
      <x:c r="F78" s="18" t="s">
        <x:v>390</x:v>
      </x:c>
      <x:c r="G78" s="18" t="s">
        <x:v>391</x:v>
      </x:c>
      <x:c r="H78" s="18" t="s">
        <x:v>392</x:v>
      </x:c>
      <x:c r="I78" s="18" t="s">
        <x:v>393</x:v>
      </x:c>
      <x:c r="J78" s="18" t="s">
        <x:v>394</x:v>
      </x:c>
      <x:c r="K78" s="18" t="s">
        <x:v>395</x:v>
      </x:c>
    </x:row>
    <x:row r="79" ht="140.10000610351562" customHeight="1">
      <x:c r="A79" s="18" t="s">
        <x:v>672</x:v>
      </x:c>
      <x:c r="B79" s="18" t="s">
        <x:v>673</x:v>
      </x:c>
      <x:c r="C79" s="18" t="s">
        <x:v>674</x:v>
      </x:c>
      <x:c r="D79" s="18"/>
      <x:c r="E79" s="18"/>
      <x:c r="F79" s="18" t="s">
        <x:v>390</x:v>
      </x:c>
      <x:c r="G79" s="18" t="s">
        <x:v>391</x:v>
      </x:c>
      <x:c r="H79" s="18" t="s">
        <x:v>392</x:v>
      </x:c>
      <x:c r="I79" s="18" t="s">
        <x:v>393</x:v>
      </x:c>
      <x:c r="J79" s="18" t="s">
        <x:v>394</x:v>
      </x:c>
      <x:c r="K79" s="18" t="s">
        <x:v>395</x:v>
      </x:c>
    </x:row>
    <x:row r="80" ht="140.10000610351562" customHeight="1">
      <x:c r="A80" s="18" t="s">
        <x:v>675</x:v>
      </x:c>
      <x:c r="B80" s="18" t="s">
        <x:v>676</x:v>
      </x:c>
      <x:c r="C80" s="18" t="s">
        <x:v>677</x:v>
      </x:c>
      <x:c r="D80" s="18"/>
      <x:c r="E80" s="18"/>
      <x:c r="F80" s="18" t="s">
        <x:v>390</x:v>
      </x:c>
      <x:c r="G80" s="18" t="s">
        <x:v>391</x:v>
      </x:c>
      <x:c r="H80" s="18" t="s">
        <x:v>392</x:v>
      </x:c>
      <x:c r="I80" s="18" t="s">
        <x:v>393</x:v>
      </x:c>
      <x:c r="J80" s="18" t="s">
        <x:v>394</x:v>
      </x:c>
      <x:c r="K80" s="18" t="s">
        <x:v>395</x:v>
      </x:c>
    </x:row>
    <x:row r="81" ht="140.10000610351562" customHeight="1">
      <x:c r="A81" s="18" t="s">
        <x:v>678</x:v>
      </x:c>
      <x:c r="B81" s="18" t="s">
        <x:v>679</x:v>
      </x:c>
      <x:c r="C81" s="18" t="s">
        <x:v>680</x:v>
      </x:c>
      <x:c r="D81" s="18"/>
      <x:c r="E81" s="18"/>
      <x:c r="F81" s="18" t="s">
        <x:v>390</x:v>
      </x:c>
      <x:c r="G81" s="18" t="s">
        <x:v>391</x:v>
      </x:c>
      <x:c r="H81" s="18" t="s">
        <x:v>392</x:v>
      </x:c>
      <x:c r="I81" s="18" t="s">
        <x:v>393</x:v>
      </x:c>
      <x:c r="J81" s="18" t="s">
        <x:v>394</x:v>
      </x:c>
      <x:c r="K81" s="18" t="s">
        <x:v>395</x:v>
      </x:c>
    </x:row>
    <x:row r="82" ht="140.10000610351562" customHeight="1">
      <x:c r="A82" s="18" t="s">
        <x:v>681</x:v>
      </x:c>
      <x:c r="B82" s="18" t="s">
        <x:v>682</x:v>
      </x:c>
      <x:c r="C82" s="18" t="s">
        <x:v>683</x:v>
      </x:c>
      <x:c r="D82" s="18"/>
      <x:c r="E82" s="18"/>
      <x:c r="F82" s="18" t="s">
        <x:v>390</x:v>
      </x:c>
      <x:c r="G82" s="18" t="s">
        <x:v>391</x:v>
      </x:c>
      <x:c r="H82" s="18" t="s">
        <x:v>392</x:v>
      </x:c>
      <x:c r="I82" s="18" t="s">
        <x:v>393</x:v>
      </x:c>
      <x:c r="J82" s="18" t="s">
        <x:v>394</x:v>
      </x:c>
      <x:c r="K82" s="18" t="s">
        <x:v>395</x:v>
      </x:c>
    </x:row>
    <x:row r="83" ht="140.10000610351562" customHeight="1">
      <x:c r="A83" s="18" t="s">
        <x:v>684</x:v>
      </x:c>
      <x:c r="B83" s="18" t="s">
        <x:v>685</x:v>
      </x:c>
      <x:c r="C83" s="18" t="s">
        <x:v>686</x:v>
      </x:c>
      <x:c r="D83" s="18"/>
      <x:c r="E83" s="18"/>
      <x:c r="F83" s="18" t="s">
        <x:v>390</x:v>
      </x:c>
      <x:c r="G83" s="18" t="s">
        <x:v>391</x:v>
      </x:c>
      <x:c r="H83" s="18" t="s">
        <x:v>392</x:v>
      </x:c>
      <x:c r="I83" s="18" t="s">
        <x:v>393</x:v>
      </x:c>
      <x:c r="J83" s="18" t="s">
        <x:v>394</x:v>
      </x:c>
      <x:c r="K83" s="18" t="s">
        <x:v>395</x:v>
      </x:c>
    </x:row>
    <x:row r="84" ht="140.10000610351562" customHeight="1">
      <x:c r="A84" s="18" t="s">
        <x:v>687</x:v>
      </x:c>
      <x:c r="B84" s="18" t="s">
        <x:v>688</x:v>
      </x:c>
      <x:c r="C84" s="18" t="s">
        <x:v>689</x:v>
      </x:c>
      <x:c r="D84" s="18"/>
      <x:c r="E84" s="18"/>
      <x:c r="F84" s="18" t="s">
        <x:v>390</x:v>
      </x:c>
      <x:c r="G84" s="18" t="s">
        <x:v>391</x:v>
      </x:c>
      <x:c r="H84" s="18" t="s">
        <x:v>392</x:v>
      </x:c>
      <x:c r="I84" s="18" t="s">
        <x:v>393</x:v>
      </x:c>
      <x:c r="J84" s="18" t="s">
        <x:v>394</x:v>
      </x:c>
      <x:c r="K84" s="18" t="s">
        <x:v>395</x:v>
      </x:c>
    </x:row>
    <x:row r="85" ht="140.10000610351562" customHeight="1">
      <x:c r="A85" s="18" t="s">
        <x:v>690</x:v>
      </x:c>
      <x:c r="B85" s="18" t="s">
        <x:v>691</x:v>
      </x:c>
      <x:c r="C85" s="18" t="s">
        <x:v>692</x:v>
      </x:c>
      <x:c r="D85" s="18"/>
      <x:c r="E85" s="18"/>
      <x:c r="F85" s="18" t="s">
        <x:v>390</x:v>
      </x:c>
      <x:c r="G85" s="18" t="s">
        <x:v>391</x:v>
      </x:c>
      <x:c r="H85" s="18" t="s">
        <x:v>392</x:v>
      </x:c>
      <x:c r="I85" s="18" t="s">
        <x:v>393</x:v>
      </x:c>
      <x:c r="J85" s="18" t="s">
        <x:v>394</x:v>
      </x:c>
      <x:c r="K85" s="18" t="s">
        <x:v>395</x:v>
      </x:c>
    </x:row>
    <x:row r="86" ht="140.10000610351562" customHeight="1">
      <x:c r="A86" s="18" t="s">
        <x:v>693</x:v>
      </x:c>
      <x:c r="B86" s="18" t="s">
        <x:v>694</x:v>
      </x:c>
      <x:c r="C86" s="18" t="s">
        <x:v>695</x:v>
      </x:c>
      <x:c r="D86" s="18"/>
      <x:c r="E86" s="18"/>
      <x:c r="F86" s="18" t="s">
        <x:v>390</x:v>
      </x:c>
      <x:c r="G86" s="18" t="s">
        <x:v>391</x:v>
      </x:c>
      <x:c r="H86" s="18" t="s">
        <x:v>392</x:v>
      </x:c>
      <x:c r="I86" s="18" t="s">
        <x:v>393</x:v>
      </x:c>
      <x:c r="J86" s="18" t="s">
        <x:v>394</x:v>
      </x:c>
      <x:c r="K86" s="18" t="s">
        <x:v>395</x:v>
      </x:c>
    </x:row>
    <x:row r="87" ht="140.10000610351562" customHeight="1">
      <x:c r="A87" s="18" t="s">
        <x:v>696</x:v>
      </x:c>
      <x:c r="B87" s="18" t="s">
        <x:v>697</x:v>
      </x:c>
      <x:c r="C87" s="18" t="s">
        <x:v>698</x:v>
      </x:c>
      <x:c r="D87" s="18"/>
      <x:c r="E87" s="18"/>
      <x:c r="F87" s="18" t="s">
        <x:v>390</x:v>
      </x:c>
      <x:c r="G87" s="18" t="s">
        <x:v>391</x:v>
      </x:c>
      <x:c r="H87" s="18" t="s">
        <x:v>392</x:v>
      </x:c>
      <x:c r="I87" s="18" t="s">
        <x:v>393</x:v>
      </x:c>
      <x:c r="J87" s="18" t="s">
        <x:v>394</x:v>
      </x:c>
      <x:c r="K87" s="18" t="s">
        <x:v>395</x:v>
      </x:c>
    </x:row>
    <x:row r="88" ht="140.10000610351562" customHeight="1">
      <x:c r="A88" s="18" t="s">
        <x:v>699</x:v>
      </x:c>
      <x:c r="B88" s="18" t="s">
        <x:v>700</x:v>
      </x:c>
      <x:c r="C88" s="18" t="s">
        <x:v>701</x:v>
      </x:c>
      <x:c r="D88" s="18"/>
      <x:c r="E88" s="18"/>
      <x:c r="F88" s="18" t="s">
        <x:v>390</x:v>
      </x:c>
      <x:c r="G88" s="18" t="s">
        <x:v>391</x:v>
      </x:c>
      <x:c r="H88" s="18" t="s">
        <x:v>392</x:v>
      </x:c>
      <x:c r="I88" s="18" t="s">
        <x:v>393</x:v>
      </x:c>
      <x:c r="J88" s="18" t="s">
        <x:v>394</x:v>
      </x:c>
      <x:c r="K88" s="18" t="s">
        <x:v>395</x:v>
      </x:c>
    </x:row>
    <x:row r="89" ht="140.10000610351562" customHeight="1">
      <x:c r="A89" s="18" t="s">
        <x:v>702</x:v>
      </x:c>
      <x:c r="B89" s="18" t="s">
        <x:v>703</x:v>
      </x:c>
      <x:c r="C89" s="18" t="s">
        <x:v>704</x:v>
      </x:c>
      <x:c r="D89" s="18"/>
      <x:c r="E89" s="18"/>
      <x:c r="F89" s="18" t="s">
        <x:v>390</x:v>
      </x:c>
      <x:c r="G89" s="18" t="s">
        <x:v>391</x:v>
      </x:c>
      <x:c r="H89" s="18" t="s">
        <x:v>392</x:v>
      </x:c>
      <x:c r="I89" s="18" t="s">
        <x:v>393</x:v>
      </x:c>
      <x:c r="J89" s="18" t="s">
        <x:v>394</x:v>
      </x:c>
      <x:c r="K89" s="18" t="s">
        <x:v>395</x:v>
      </x:c>
    </x:row>
    <x:row r="90" ht="140.10000610351562" customHeight="1">
      <x:c r="A90" s="18" t="s">
        <x:v>705</x:v>
      </x:c>
      <x:c r="B90" s="18" t="s">
        <x:v>706</x:v>
      </x:c>
      <x:c r="C90" s="18" t="s">
        <x:v>707</x:v>
      </x:c>
      <x:c r="D90" s="18"/>
      <x:c r="E90" s="18"/>
      <x:c r="F90" s="18" t="s">
        <x:v>390</x:v>
      </x:c>
      <x:c r="G90" s="18" t="s">
        <x:v>391</x:v>
      </x:c>
      <x:c r="H90" s="18" t="s">
        <x:v>392</x:v>
      </x:c>
      <x:c r="I90" s="18" t="s">
        <x:v>393</x:v>
      </x:c>
      <x:c r="J90" s="18" t="s">
        <x:v>394</x:v>
      </x:c>
      <x:c r="K90" s="18" t="s">
        <x:v>395</x:v>
      </x:c>
    </x:row>
    <x:row r="91" ht="140.10000610351562" customHeight="1">
      <x:c r="A91" s="18" t="s">
        <x:v>708</x:v>
      </x:c>
      <x:c r="B91" s="18" t="s">
        <x:v>709</x:v>
      </x:c>
      <x:c r="C91" s="18" t="s">
        <x:v>710</x:v>
      </x:c>
      <x:c r="D91" s="18"/>
      <x:c r="E91" s="18"/>
      <x:c r="F91" s="18" t="s">
        <x:v>390</x:v>
      </x:c>
      <x:c r="G91" s="18" t="s">
        <x:v>391</x:v>
      </x:c>
      <x:c r="H91" s="18" t="s">
        <x:v>392</x:v>
      </x:c>
      <x:c r="I91" s="18" t="s">
        <x:v>393</x:v>
      </x:c>
      <x:c r="J91" s="18" t="s">
        <x:v>394</x:v>
      </x:c>
      <x:c r="K91" s="18" t="s">
        <x:v>395</x:v>
      </x:c>
    </x:row>
    <x:row r="92" ht="140.10000610351562" customHeight="1">
      <x:c r="A92" s="18" t="s">
        <x:v>711</x:v>
      </x:c>
      <x:c r="B92" s="18" t="s">
        <x:v>712</x:v>
      </x:c>
      <x:c r="C92" s="18" t="s">
        <x:v>713</x:v>
      </x:c>
      <x:c r="D92" s="18"/>
      <x:c r="E92" s="18"/>
      <x:c r="F92" s="18" t="s">
        <x:v>390</x:v>
      </x:c>
      <x:c r="G92" s="18" t="s">
        <x:v>391</x:v>
      </x:c>
      <x:c r="H92" s="18" t="s">
        <x:v>392</x:v>
      </x:c>
      <x:c r="I92" s="18" t="s">
        <x:v>393</x:v>
      </x:c>
      <x:c r="J92" s="18" t="s">
        <x:v>394</x:v>
      </x:c>
      <x:c r="K92" s="18" t="s">
        <x:v>395</x:v>
      </x:c>
    </x:row>
    <x:row r="93" ht="140" customHeight="1">
      <x:c r="A93" s="79" t="str">
        <x:v>P01/3</x:v>
      </x:c>
      <x:c r="B93" s="79" t="str">
        <x:v>P01.07</x:v>
      </x:c>
      <x:c r="C93" s="79" t="str">
        <x:v>VM Windows limpia y reproducible para ejecutar los scripts.</x:v>
      </x:c>
      <x:c r="D93" s="79"/>
      <x:c r="E93" s="79"/>
      <x:c r="F93" s="79" t="str">
        <x:v>Documento de VM y configuración reproducible (por crear).</x:v>
      </x:c>
      <x:c r="G93" s="79" t="str">
        <x:v>Por crear: pruebas de automatización y ejecución en VM limpia.</x:v>
      </x:c>
      <x:c r="H93" s="79" t="str">
        <x:v>Manuales de entorno, base de datos y pruebas como referencia; actualización pendiente.</x:v>
      </x:c>
      <x:c r="I93" s="79" t="str">
        <x:v>Pendiente: nuevo trabajo de automatización.</x:v>
      </x:c>
      <x:c r="J93" s="79" t="str">
        <x:v>No hay script de instalación completa ni VM reproducible atribuible a los commits revisados. No confundir check:env/check:db con instaladores.</x:v>
      </x:c>
      <x:c r="K93" s="79" t="str">
        <x:v>Sin cierre ni commit.</x:v>
      </x:c>
    </x:row>
    <x:row r="94" ht="140" customHeight="1">
      <x:c r="A94" s="79" t="str">
        <x:v>P01/4</x:v>
      </x:c>
      <x:c r="B94" s="79" t="str">
        <x:v>P01.08</x:v>
      </x:c>
      <x:c r="C94" s="79" t="str">
        <x:v>Script PowerShell de herramientas y repositorio.</x:v>
      </x:c>
      <x:c r="D94" s="79"/>
      <x:c r="E94" s="79"/>
      <x:c r="F94" s="79" t="str">
        <x:v>Script PowerShell de herramientas y documentación de uso (por crear).</x:v>
      </x:c>
      <x:c r="G94" s="79" t="str">
        <x:v>Por crear: pruebas de automatización y ejecución en VM limpia.</x:v>
      </x:c>
      <x:c r="H94" s="79" t="str">
        <x:v>Manuales de entorno, base de datos y pruebas como referencia; actualización pendiente.</x:v>
      </x:c>
      <x:c r="I94" s="79" t="str">
        <x:v>Pendiente: nuevo trabajo de automatización.</x:v>
      </x:c>
      <x:c r="J94" s="79" t="str">
        <x:v>No hay script de instalación completa ni VM reproducible atribuible a los commits revisados. No confundir check:env/check:db con instaladores.</x:v>
      </x:c>
      <x:c r="K94" s="79" t="str">
        <x:v>Sin cierre ni commit.</x:v>
      </x:c>
    </x:row>
    <x:row r="95" ht="140" customHeight="1">
      <x:c r="A95" s="79" t="str">
        <x:v>P01/5</x:v>
      </x:c>
      <x:c r="B95" s="79" t="str">
        <x:v>P01.09</x:v>
      </x:c>
      <x:c r="C95" s="79" t="str">
        <x:v>Script de PostgreSQL y bases development/test/e2e.</x:v>
      </x:c>
      <x:c r="D95" s="79"/>
      <x:c r="E95" s="79"/>
      <x:c r="F95" s="79" t="str">
        <x:v>Script PowerShell/SQL de instalación y configuración de bases (por crear).</x:v>
      </x:c>
      <x:c r="G95" s="79" t="str">
        <x:v>Por crear: pruebas de automatización y ejecución en VM limpia.</x:v>
      </x:c>
      <x:c r="H95" s="79" t="str">
        <x:v>Manuales de entorno, base de datos y pruebas como referencia; actualización pendiente.</x:v>
      </x:c>
      <x:c r="I95" s="79" t="str">
        <x:v>Pendiente: nuevo trabajo de automatización.</x:v>
      </x:c>
      <x:c r="J95" s="79" t="str">
        <x:v>No hay script de instalación completa ni VM reproducible atribuible a los commits revisados. No confundir check:env/check:db con instaladores.</x:v>
      </x:c>
      <x:c r="K95" s="79" t="str">
        <x:v>Sin cierre ni commit.</x:v>
      </x:c>
    </x:row>
    <x:row r="96" ht="140" customHeight="1">
      <x:c r="A96" s="79" t="str">
        <x:v>P01/6</x:v>
      </x:c>
      <x:c r="B96" s="79" t="str">
        <x:v>P01.10</x:v>
      </x:c>
      <x:c r="C96" s="79" t="str">
        <x:v>Tres entornos configurados y verificables con comandos del proyecto.</x:v>
      </x:c>
      <x:c r="D96" s="79"/>
      <x:c r="E96" s="79"/>
      <x:c r="F96" s="79" t="str">
        <x:v>Script de configuración local y validación de los tres entornos (por crear).</x:v>
      </x:c>
      <x:c r="G96" s="79" t="str">
        <x:v>Por crear: pruebas de automatización y ejecución en VM limpia.</x:v>
      </x:c>
      <x:c r="H96" s="79" t="str">
        <x:v>Manuales de entorno, base de datos y pruebas como referencia; actualización pendiente.</x:v>
      </x:c>
      <x:c r="I96" s="79" t="str">
        <x:v>Pendiente: nuevo trabajo de automatización.</x:v>
      </x:c>
      <x:c r="J96" s="79" t="str">
        <x:v>No hay script de instalación completa ni VM reproducible atribuible a los commits revisados. No confundir check:env/check:db con instaladores.</x:v>
      </x:c>
      <x:c r="K96" s="79" t="str">
        <x:v>Sin cierre ni commit.</x:v>
      </x:c>
    </x:row>
    <x:row r="97" ht="140" customHeight="1">
      <x:c r="A97" s="79" t="str">
        <x:v>P01/7</x:v>
      </x:c>
      <x:c r="B97" s="79" t="str">
        <x:v>P01.11</x:v>
      </x:c>
      <x:c r="C97" s="79" t="str">
        <x:v>Comando principal con errores claros y ejecución repetible.</x:v>
      </x:c>
      <x:c r="D97" s="79"/>
      <x:c r="E97" s="79"/>
      <x:c r="F97" s="79" t="str">
        <x:v>Script principal, pruebas de errores/repetición y README de scripts (por crear).</x:v>
      </x:c>
      <x:c r="G97" s="79" t="str">
        <x:v>Por crear: pruebas de automatización y ejecución en VM limpia.</x:v>
      </x:c>
      <x:c r="H97" s="79" t="str">
        <x:v>Manuales de entorno, base de datos y pruebas como referencia; actualización pendiente.</x:v>
      </x:c>
      <x:c r="I97" s="79" t="str">
        <x:v>Pendiente: nuevo trabajo de automatización.</x:v>
      </x:c>
      <x:c r="J97" s="79" t="str">
        <x:v>No hay script de instalación completa ni VM reproducible atribuible a los commits revisados. No confundir check:env/check:db con instaladores.</x:v>
      </x:c>
      <x:c r="K97" s="79" t="str">
        <x:v>Sin cierre ni commit.</x:v>
      </x:c>
    </x:row>
    <x:row r="98" ht="140" customHeight="1">
      <x:c r="A98" s="79" t="str">
        <x:v>P01/8</x:v>
      </x:c>
      <x:c r="B98" s="79" t="str">
        <x:v>P01.12</x:v>
      </x:c>
      <x:c r="C98" s="79" t="str">
        <x:v>Procedimiento reproducible validado y listo para los seis desarrolladores.</x:v>
      </x:c>
      <x:c r="D98" s="79"/>
      <x:c r="E98" s="79"/>
      <x:c r="F98" s="79" t="str">
        <x:v>Guía corta de arranque, manuales actualizados y pruebas de automatización (por crear).</x:v>
      </x:c>
      <x:c r="G98" s="79" t="str">
        <x:v>Por crear: pruebas de automatización y ejecución en VM limpia.</x:v>
      </x:c>
      <x:c r="H98" s="79" t="str">
        <x:v>Manuales de entorno, base de datos y pruebas como referencia; actualización pendiente.</x:v>
      </x:c>
      <x:c r="I98" s="79" t="str">
        <x:v>Pendiente: nuevo trabajo de automatización.</x:v>
      </x:c>
      <x:c r="J98" s="79" t="str">
        <x:v>No hay script de instalación completa ni VM reproducible atribuible a los commits revisados. No confundir check:env/check:db con instaladores.</x:v>
      </x:c>
      <x:c r="K98" s="79" t="str">
        <x:v>Sin cierre ni commit.</x:v>
      </x:c>
    </x:row>
  </x:sheetData>
  <x:pageMargins left="0.7" right="0.7" top="0.75" bottom="0.75" header="0.3" footer="0.3"/>
</x:worksheet>
</file>